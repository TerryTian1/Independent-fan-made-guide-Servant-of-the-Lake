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28bfd7141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判断表" sheetId="1" r:id="R1fd05ba100b24867"/>
    <x:sheet xmlns:r="http://schemas.openxmlformats.org/officeDocument/2006/relationships" name="详细分析" sheetId="2" r:id="Rbc253b5e03e54b7c"/>
    <x:sheet xmlns:r="http://schemas.openxmlformats.org/officeDocument/2006/relationships" name="细分关键词" sheetId="3" r:id="R50e8973a327f494a"/>
    <x:sheet xmlns:r="http://schemas.openxmlformats.org/officeDocument/2006/relationships" name="SERP竞争" sheetId="4" r:id="Rce82da96b71f4276"/>
    <x:sheet xmlns:r="http://schemas.openxmlformats.org/officeDocument/2006/relationships" name="输入与规则" sheetId="5" r:id="Rdc37d125546d4dbd"/>
    <x:sheet xmlns:r="http://schemas.openxmlformats.org/officeDocument/2006/relationships" name="方法与来源" sheetId="6" r:id="R9cbfbc6e57e7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B26A00"/>
      <x:name val="Carlito"/>
    </x:font>
    <x:font>
      <x:b/>
      <x:sz val="11"/>
      <x:color rgb="FF183153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4D6"/>
      </x:patternFill>
    </x:fill>
    <x:fill>
      <x:patternFill patternType="solid">
        <x:fgColor rgb="FFEAF3F8"/>
      </x:patternFill>
    </x:fill>
    <x:fill>
      <x:patternFill patternType="solid">
        <x:fgColor rgb="FFFFFBEA"/>
      </x:patternFill>
    </x:fill>
    <x:fill>
      <x:patternFill patternType="solid">
        <x:fgColor rgb="FFF5F9FC"/>
      </x:patternFill>
    </x:fill>
    <x:fill>
      <x:patternFill patternType="solid">
        <x:fgColor rgb="FFF2F4F7"/>
      </x:patternFill>
    </x:fill>
    <x:fill>
      <x:patternFill patternType="solid">
        <x:fgColor rgb="FF2878B5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1" fontId="0" fillId="6" borderId="1" xfId="0" applyNumberFormat="1" applyFont="1" applyFill="1" applyBorder="1" applyAlignment="1">
      <x:alignment vertical="top" wrapText="1"/>
    </x:xf>
    <x:xf numFmtId="202" fontId="0" fillId="6" borderId="1" xfId="0" applyNumberFormat="1" applyFont="1" applyFill="1" applyBorder="1" applyAlignment="1">
      <x:alignment vertical="top" wrapText="1"/>
    </x:xf>
    <x:xf numFmtId="203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b69c7df09458c" /><Relationship Type="http://schemas.openxmlformats.org/officeDocument/2006/relationships/theme" Target="/xl/theme/theme1.xml" Id="Rca38045695d94ed4" /><Relationship Type="http://schemas.openxmlformats.org/officeDocument/2006/relationships/sharedStrings" Target="/xl/sharedStrings.xml" Id="Ra07ee296c0684ed8" /><Relationship Type="http://schemas.openxmlformats.org/officeDocument/2006/relationships/worksheet" Target="/xl/worksheets/sheet1.xml" Id="R1fd05ba100b24867" /><Relationship Type="http://schemas.openxmlformats.org/officeDocument/2006/relationships/worksheet" Target="/xl/worksheets/sheet2.xml" Id="Rbc253b5e03e54b7c" /><Relationship Type="http://schemas.openxmlformats.org/officeDocument/2006/relationships/worksheet" Target="/xl/worksheets/sheet3.xml" Id="R50e8973a327f494a" /><Relationship Type="http://schemas.openxmlformats.org/officeDocument/2006/relationships/worksheet" Target="/xl/worksheets/sheet4.xml" Id="Rce82da96b71f4276" /><Relationship Type="http://schemas.openxmlformats.org/officeDocument/2006/relationships/worksheet" Target="/xl/worksheets/sheet5.xml" Id="Rdc37d125546d4dbd" /><Relationship Type="http://schemas.openxmlformats.org/officeDocument/2006/relationships/worksheet" Target="/xl/worksheets/sheet6.xml" Id="R9cbfbc6e57e745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>
      <x:c r="A1" s="3" t="str">
        <x:v>判断表（对着填）</x:v>
      </x:c>
      <x:c r="B1" s="3"/>
      <x:c r="C1" s="3"/>
      <x:c r="D1" s="3"/>
      <x:c r="E1" s="3"/>
      <x:c r="F1" s="3"/>
    </x:row>
    <x:row r="2">
      <x:c r="A2" s="34" t="str">
        <x:v>第一组：候选词1–5｜绿色=做，黄色=谨慎做，红色=不做</x:v>
      </x:c>
      <x:c r="B2" s="34"/>
      <x:c r="C2" s="34"/>
      <x:c r="D2" s="34"/>
      <x:c r="E2" s="34"/>
      <x:c r="F2" s="34"/>
    </x:row>
    <x:row r="4">
      <x:c r="A4" s="39" t="str"/>
      <x:c r="B4" s="39" t="str">
        <x:v>候选词 1</x:v>
      </x:c>
      <x:c r="C4" s="39" t="str">
        <x:v>候选词 2</x:v>
      </x:c>
      <x:c r="D4" s="39" t="str">
        <x:v>候选词 3</x:v>
      </x:c>
      <x:c r="E4" s="39" t="str">
        <x:v>候选词 4</x:v>
      </x:c>
      <x:c r="F4" s="39" t="str">
        <x:v>候选词 5</x:v>
      </x:c>
    </x:row>
    <x:row r="5" ht="42" customHeight="1">
      <x:c r="A5" s="12" t="str">
        <x:v>游戏名</x:v>
      </x:c>
      <x:c r="B5" s="41" t="str">
        <x:f>'详细分析'!A5</x:f>
        <x:v>Big Walk</x:v>
      </x:c>
      <x:c r="C5" s="41" t="str">
        <x:f>'详细分析'!A6</x:f>
        <x:v>Mistfall Hunter</x:v>
      </x:c>
      <x:c r="D5" s="41" t="str">
        <x:f>'详细分析'!A7</x:f>
        <x:v>Shift At Midnight</x:v>
      </x:c>
      <x:c r="E5" s="41" t="str">
        <x:f>'详细分析'!A8</x:f>
        <x:v>Hell Let Loose: Vietnam</x:v>
      </x:c>
      <x:c r="F5" s="41" t="str">
        <x:f>'详细分析'!A9</x:f>
        <x:v>Servant of the Lake</x:v>
      </x:c>
    </x:row>
    <x:row r="6" ht="42" customHeight="1">
      <x:c r="A6" s="12" t="str">
        <x:v>Trends 趋势（涨/平/跌）</x:v>
      </x:c>
      <x:c r="B6" s="41" t="str">
        <x:f>'详细分析'!I5</x:f>
        <x:v>平</x:v>
      </x:c>
      <x:c r="C6" s="41" t="str">
        <x:f>'详细分析'!I6</x:f>
        <x:v>平</x:v>
      </x:c>
      <x:c r="D6" s="41" t="str">
        <x:f>'详细分析'!I7</x:f>
        <x:v>跌</x:v>
      </x:c>
      <x:c r="E6" s="41" t="str">
        <x:f>'详细分析'!I8</x:f>
        <x:v>涨</x:v>
      </x:c>
      <x:c r="F6" s="41" t="str">
        <x:f>'详细分析'!I9</x:f>
        <x:v>涨</x:v>
      </x:c>
    </x:row>
    <x:row r="7" ht="42" customHeight="1">
      <x:c r="A7" s="12" t="str">
        <x:v>KD 难度（估算）</x:v>
      </x:c>
      <x:c r="B7" s="41" t="n">
        <x:f>'详细分析'!J5</x:f>
        <x:v>38</x:v>
      </x:c>
      <x:c r="C7" s="41" t="n">
        <x:f>'详细分析'!J6</x:f>
        <x:v>58</x:v>
      </x:c>
      <x:c r="D7" s="41" t="n">
        <x:f>'详细分析'!J7</x:f>
        <x:v>29</x:v>
      </x:c>
      <x:c r="E7" s="41" t="n">
        <x:f>'详细分析'!J8</x:f>
        <x:v>61</x:v>
      </x:c>
      <x:c r="F7" s="41" t="n">
        <x:f>'详细分析'!J9</x:f>
        <x:v>24</x:v>
      </x:c>
    </x:row>
    <x:row r="8" ht="42" customHeight="1">
      <x:c r="A8" s="12" t="str">
        <x:v>细分关键词数量</x:v>
      </x:c>
      <x:c r="B8" s="41" t="n">
        <x:f>'详细分析'!L5</x:f>
        <x:v>20</x:v>
      </x:c>
      <x:c r="C8" s="41" t="n">
        <x:f>'详细分析'!L6</x:f>
        <x:v>24</x:v>
      </x:c>
      <x:c r="D8" s="41" t="n">
        <x:f>'详细分析'!L7</x:f>
        <x:v>18</x:v>
      </x:c>
      <x:c r="E8" s="41" t="n">
        <x:f>'详细分析'!L8</x:f>
        <x:v>22</x:v>
      </x:c>
      <x:c r="F8" s="41" t="n">
        <x:f>'详细分析'!L9</x:f>
        <x:v>24</x:v>
      </x:c>
    </x:row>
    <x:row r="9" ht="42" customHeight="1">
      <x:c r="A9" s="12" t="str">
        <x:v>首页竞争难度</x:v>
      </x:c>
      <x:c r="B9" s="41" t="str">
        <x:f>'详细分析'!M5</x:f>
        <x:v>中高</x:v>
      </x:c>
      <x:c r="C9" s="41" t="str">
        <x:f>'详细分析'!M6</x:f>
        <x:v>高</x:v>
      </x:c>
      <x:c r="D9" s="41" t="str">
        <x:f>'详细分析'!M7</x:f>
        <x:v>低</x:v>
      </x:c>
      <x:c r="E9" s="41" t="str">
        <x:f>'详细分析'!M8</x:f>
        <x:v>高</x:v>
      </x:c>
      <x:c r="F9" s="41" t="str">
        <x:f>'详细分析'!M9</x:f>
        <x:v>中低</x:v>
      </x:c>
    </x:row>
    <x:row r="10" ht="42" customHeight="1">
      <x:c r="A10" s="12" t="str">
        <x:v>做/不做</x:v>
      </x:c>
      <x:c r="B10" s="41" t="str">
        <x:f>'详细分析'!S5</x:f>
        <x:v>谨慎做</x:v>
      </x:c>
      <x:c r="C10" s="41" t="str">
        <x:f>'详细分析'!S6</x:f>
        <x:v>不做</x:v>
      </x:c>
      <x:c r="D10" s="41" t="str">
        <x:f>'详细分析'!S7</x:f>
        <x:v>做</x:v>
      </x:c>
      <x:c r="E10" s="41" t="str">
        <x:f>'详细分析'!S8</x:f>
        <x:v>不做</x:v>
      </x:c>
      <x:c r="F10" s="41" t="str">
        <x:f>'详细分析'!S9</x:f>
        <x:v>做</x:v>
      </x:c>
    </x:row>
    <x:row r="11" ht="42" customHeight="1">
      <x:c r="A11" s="12" t="str">
        <x:v>综合分</x:v>
      </x:c>
      <x:c r="B11" s="41" t="n">
        <x:f>'详细分析'!R5</x:f>
        <x:v>60</x:v>
      </x:c>
      <x:c r="C11" s="41" t="n">
        <x:f>'详细分析'!R6</x:f>
        <x:v>40</x:v>
      </x:c>
      <x:c r="D11" s="41" t="n">
        <x:f>'详细分析'!R7</x:f>
        <x:v>70</x:v>
      </x:c>
      <x:c r="E11" s="41" t="n">
        <x:f>'详细分析'!R8</x:f>
        <x:v>50</x:v>
      </x:c>
      <x:c r="F11" s="41" t="n">
        <x:f>'详细分析'!R9</x:f>
        <x:v>91</x:v>
      </x:c>
    </x:row>
    <x:row r="12" ht="96" customHeight="1">
      <x:c r="A12" s="12" t="str">
        <x:v>判断说明</x:v>
      </x:c>
      <x:c r="B12" s="41" t="str">
        <x:f>'详细分析'!T5</x:f>
        <x:v>主词已有专属Wiki和PC Gamer谜题页；不建议正面抢主词，可围绕单个谜题、坐标和物品位置做长尾。</x:v>
      </x:c>
      <x:c r="C12" s="41" t="str">
        <x:f>'详细分析'!T6</x:f>
        <x:v>长尾非常多，但已有多家专属Wiki和工具站提前卡位；新站很难靠普通攻略形成差异化。</x:v>
      </x:c>
      <x:c r="D12" s="41" t="str">
        <x:f>'详细分析'!T7</x:f>
        <x:v>主词热度回落，但怪物识别、顾客判断、陷阱和联机故障等需求清晰，适合做小型垂直站。</x:v>
      </x:c>
      <x:c r="E12" s="41" t="str">
        <x:f>'详细分析'!T8</x:f>
        <x:v>上线热度高、可拆词多，但已有专属Wiki、原作社区和大型媒体，新手不宜正面做主站。</x:v>
      </x:c>
      <x:c r="F12" s="41" t="str">
        <x:f>'详细分析'!T9</x:f>
        <x:v>评分高、谜题长尾密集，当前首页主要是视频和少量旧Demo攻略，适合快速覆盖全流程。</x:v>
      </x:c>
    </x:row>
    <x:row r="14">
      <x:c r="A14" s="34" t="str">
        <x:v>第二组：候选词6–10</x:v>
      </x:c>
      <x:c r="B14" s="34"/>
      <x:c r="C14" s="34"/>
      <x:c r="D14" s="34"/>
      <x:c r="E14" s="34"/>
      <x:c r="F14" s="34"/>
    </x:row>
    <x:row r="16">
      <x:c r="A16" s="39" t="str"/>
      <x:c r="B16" s="39" t="str">
        <x:v>候选词 1</x:v>
      </x:c>
      <x:c r="C16" s="39" t="str">
        <x:v>候选词 2</x:v>
      </x:c>
      <x:c r="D16" s="39" t="str">
        <x:v>候选词 3</x:v>
      </x:c>
      <x:c r="E16" s="39" t="str">
        <x:v>候选词 4</x:v>
      </x:c>
      <x:c r="F16" s="39" t="str">
        <x:v>候选词 5</x:v>
      </x:c>
    </x:row>
    <x:row r="17" ht="42" customHeight="1">
      <x:c r="A17" s="12" t="str">
        <x:v>游戏名</x:v>
      </x:c>
      <x:c r="B17" s="41" t="str">
        <x:f>'详细分析'!A10</x:f>
        <x:v>Halo: Campaign Evolved</x:v>
      </x:c>
      <x:c r="C17" s="41" t="str">
        <x:f>'详细分析'!A11</x:f>
        <x:v>MARVEL Tōkon: Fighting Souls</x:v>
      </x:c>
      <x:c r="D17" s="41" t="str">
        <x:f>'详细分析'!A12</x:f>
        <x:v>ReStory: Chill Electronics Repairs</x:v>
      </x:c>
      <x:c r="E17" s="41" t="str">
        <x:f>'详细分析'!A13</x:f>
        <x:v>IRON NEST: Heavy Turret Simulator</x:v>
      </x:c>
      <x:c r="F17" s="41" t="str">
        <x:f>'详细分析'!A14</x:f>
        <x:v>Pax Autocratica</x:v>
      </x:c>
    </x:row>
    <x:row r="18" ht="42" customHeight="1">
      <x:c r="A18" s="12" t="str">
        <x:v>Trends 趋势（涨/平/跌）</x:v>
      </x:c>
      <x:c r="B18" s="41" t="str">
        <x:f>'详细分析'!I10</x:f>
        <x:v>跌</x:v>
      </x:c>
      <x:c r="C18" s="41" t="str">
        <x:f>'详细分析'!I11</x:f>
        <x:v>跌</x:v>
      </x:c>
      <x:c r="D18" s="41" t="str">
        <x:f>'详细分析'!I12</x:f>
        <x:v>平</x:v>
      </x:c>
      <x:c r="E18" s="41" t="str">
        <x:f>'详细分析'!I13</x:f>
        <x:v>平</x:v>
      </x:c>
      <x:c r="F18" s="41" t="str">
        <x:f>'详细分析'!I14</x:f>
        <x:v>涨</x:v>
      </x:c>
    </x:row>
    <x:row r="19" ht="42" customHeight="1">
      <x:c r="A19" s="12" t="str">
        <x:v>KD 难度（估算）</x:v>
      </x:c>
      <x:c r="B19" s="41" t="n">
        <x:f>'详细分析'!J10</x:f>
        <x:v>78</x:v>
      </x:c>
      <x:c r="C19" s="41" t="n">
        <x:f>'详细分析'!J11</x:f>
        <x:v>74</x:v>
      </x:c>
      <x:c r="D19" s="41" t="n">
        <x:f>'详细分析'!J12</x:f>
        <x:v>22</x:v>
      </x:c>
      <x:c r="E19" s="41" t="n">
        <x:f>'详细分析'!J13</x:f>
        <x:v>38</x:v>
      </x:c>
      <x:c r="F19" s="41" t="n">
        <x:f>'详细分析'!J14</x:f>
        <x:v>31</x:v>
      </x:c>
    </x:row>
    <x:row r="20" ht="42" customHeight="1">
      <x:c r="A20" s="12" t="str">
        <x:v>细分关键词数量</x:v>
      </x:c>
      <x:c r="B20" s="41" t="n">
        <x:f>'详细分析'!L10</x:f>
        <x:v>30</x:v>
      </x:c>
      <x:c r="C20" s="41" t="n">
        <x:f>'详细分析'!L11</x:f>
        <x:v>26</x:v>
      </x:c>
      <x:c r="D20" s="41" t="n">
        <x:f>'详细分析'!L12</x:f>
        <x:v>20</x:v>
      </x:c>
      <x:c r="E20" s="41" t="n">
        <x:f>'详细分析'!L13</x:f>
        <x:v>22</x:v>
      </x:c>
      <x:c r="F20" s="41" t="n">
        <x:f>'详细分析'!L14</x:f>
        <x:v>24</x:v>
      </x:c>
    </x:row>
    <x:row r="21" ht="42" customHeight="1">
      <x:c r="A21" s="12" t="str">
        <x:v>首页竞争难度</x:v>
      </x:c>
      <x:c r="B21" s="41" t="str">
        <x:f>'详细分析'!M10</x:f>
        <x:v>高</x:v>
      </x:c>
      <x:c r="C21" s="41" t="str">
        <x:f>'详细分析'!M11</x:f>
        <x:v>高</x:v>
      </x:c>
      <x:c r="D21" s="41" t="str">
        <x:f>'详细分析'!M12</x:f>
        <x:v>低</x:v>
      </x:c>
      <x:c r="E21" s="41" t="str">
        <x:f>'详细分析'!M13</x:f>
        <x:v>中高</x:v>
      </x:c>
      <x:c r="F21" s="41" t="str">
        <x:f>'详细分析'!M14</x:f>
        <x:v>中低</x:v>
      </x:c>
    </x:row>
    <x:row r="22" ht="42" customHeight="1">
      <x:c r="A22" s="12" t="str">
        <x:v>做/不做</x:v>
      </x:c>
      <x:c r="B22" s="41" t="str">
        <x:f>'详细分析'!S10</x:f>
        <x:v>不做</x:v>
      </x:c>
      <x:c r="C22" s="41" t="str">
        <x:f>'详细分析'!S11</x:f>
        <x:v>不做</x:v>
      </x:c>
      <x:c r="D22" s="41" t="str">
        <x:f>'详细分析'!S12</x:f>
        <x:v>做</x:v>
      </x:c>
      <x:c r="E22" s="41" t="str">
        <x:f>'详细分析'!S13</x:f>
        <x:v>谨慎做</x:v>
      </x:c>
      <x:c r="F22" s="41" t="str">
        <x:f>'详细分析'!S14</x:f>
        <x:v>做</x:v>
      </x:c>
    </x:row>
    <x:row r="23" ht="42" customHeight="1">
      <x:c r="A23" s="12" t="str">
        <x:v>综合分</x:v>
      </x:c>
      <x:c r="B23" s="41" t="n">
        <x:f>'详细分析'!R10</x:f>
        <x:v>25</x:v>
      </x:c>
      <x:c r="C23" s="41" t="n">
        <x:f>'详细分析'!R11</x:f>
        <x:v>25</x:v>
      </x:c>
      <x:c r="D23" s="41" t="n">
        <x:f>'详细分析'!R12</x:f>
        <x:v>85</x:v>
      </x:c>
      <x:c r="E23" s="41" t="n">
        <x:f>'详细分析'!R13</x:f>
        <x:v>60</x:v>
      </x:c>
      <x:c r="F23" s="41" t="n">
        <x:f>'详细分析'!R14</x:f>
        <x:v>81</x:v>
      </x:c>
    </x:row>
    <x:row r="24" ht="96" customHeight="1">
      <x:c r="A24" s="12" t="str">
        <x:v>判断说明</x:v>
      </x:c>
      <x:c r="B24" s="41" t="str">
        <x:f>'详细分析'!T10</x:f>
        <x:v>GameSpot、Neoseeker、Vandal和专属Wiki已覆盖骷髅、任务与收集品；不适合新站正面竞争。</x:v>
      </x:c>
      <x:c r="C24" s="41" t="str">
        <x:f>'详细分析'!T11</x:f>
        <x:v>角色连招和Tier List需求多，但官方指南、Dot Esports、视频作者和专属Wiki已占位，主词不建议做。</x:v>
      </x:c>
      <x:c r="D24" s="41" t="str">
        <x:f>'详细分析'!T12</x:f>
        <x:v>维修步骤、零件、顾客选择和店铺升级需求明确，专门文字攻略稀缺，适合抢占。</x:v>
      </x:c>
      <x:c r="E24" s="41" t="str">
        <x:f>'详细分析'!T13</x:f>
        <x:v>计算和操作长尾非常适合SEO，但已有Pro Game Guides和两个垂直站；建议只做细分工具/计算器与高难问题。</x:v>
      </x:c>
      <x:c r="F24" s="41" t="str">
        <x:f>'详细分析'!T14</x:f>
        <x:v>主流媒体覆盖少，玩家会搜索基地布局、忠诚、叛乱、生产和远征；适合尽快做深度攻略。</x:v>
      </x:c>
    </x:row>
  </x:sheetData>
  <x:mergeCells>
    <x:mergeCell ref="A1:F1"/>
    <x:mergeCell ref="A2:F2"/>
    <x:mergeCell ref="A14:F14"/>
  </x:mergeCells>
  <x:conditionalFormatting sqref="B10:F10">
    <x:cfRule type="expression" dxfId="7" priority="1">
      <x:formula>B10="做"</x:formula>
    </x:cfRule>
    <x:cfRule type="expression" dxfId="8" priority="2">
      <x:formula>B10="谨慎做"</x:formula>
    </x:cfRule>
    <x:cfRule type="expression" dxfId="9" priority="3">
      <x:formula>B10="不做"</x:formula>
    </x:cfRule>
  </x:conditionalFormatting>
  <x:conditionalFormatting sqref="B11:F11">
    <x:cfRule type="colorScale" priority="4">
      <x:colorScale>
        <x:cfvo type="min"/>
        <x:cfvo type="percentile" val="50"/>
        <x:cfvo type="max"/>
        <x:color rgb="FFFDECEC"/>
        <x:color rgb="FFFFF4D6"/>
        <x:color rgb="FFE8F5E9"/>
      </x:colorScale>
    </x:cfRule>
  </x:conditionalFormatting>
  <x:conditionalFormatting sqref="B22:F22">
    <x:cfRule type="expression" dxfId="10" priority="5">
      <x:formula>B22="做"</x:formula>
    </x:cfRule>
    <x:cfRule type="expression" dxfId="11" priority="6">
      <x:formula>B22="谨慎做"</x:formula>
    </x:cfRule>
    <x:cfRule type="expression" dxfId="12" priority="7">
      <x:formula>B22="不做"</x:formula>
    </x:cfRule>
  </x:conditionalFormatting>
  <x:conditionalFormatting sqref="B23:F23">
    <x:cfRule type="colorScale" priority="8">
      <x:colorScale>
        <x:cfvo type="min"/>
        <x:cfvo type="percentile" val="50"/>
        <x:cfvo type="max"/>
        <x:color rgb="FFFDECEC"/>
        <x:color rgb="FFFFF4D6"/>
        <x:color rgb="FFE8F5E9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4" hidden="0" customWidth="1"/>
    <x:col min="20" max="20" width="50" hidden="0" customWidth="1"/>
    <x:col min="21" max="21" width="48" hidden="0" customWidth="1"/>
    <x:col min="22" max="22" width="48" hidden="0" customWidth="1"/>
    <x:col min="23" max="23" width="48" hidden="0" customWidth="1"/>
  </x:cols>
  <x:sheetData>
    <x:row r="1">
      <x:c r="A1" s="3" t="str">
        <x:v>10款新游戏SEO详细判断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>
      <x:c r="A2" s="6" t="str">
        <x:v>趋势为SteamDB上线动量代理；KD为SERP模型估算。黄色列为输入引用，蓝色列为公式结果。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>
      <x:c r="A4" s="12" t="str">
        <x:v>游戏名</x:v>
      </x:c>
      <x:c r="B4" s="12" t="str">
        <x:v>发售日</x:v>
      </x:c>
      <x:c r="C4" s="12" t="str">
        <x:v>上线天数</x:v>
      </x:c>
      <x:c r="D4" s="12" t="str">
        <x:v>当前在线</x:v>
      </x:c>
      <x:c r="E4" s="12" t="str">
        <x:v>峰值</x:v>
      </x:c>
      <x:c r="F4" s="12" t="str">
        <x:v>在线/峰值</x:v>
      </x:c>
      <x:c r="G4" s="12" t="str">
        <x:v>评分</x:v>
      </x:c>
      <x:c r="H4" s="12" t="str">
        <x:v>畅销排名</x:v>
      </x:c>
      <x:c r="I4" s="12" t="str">
        <x:v>趋势</x:v>
      </x:c>
      <x:c r="J4" s="12" t="str">
        <x:v>KD估算</x:v>
      </x:c>
      <x:c r="K4" s="12" t="str">
        <x:v>KD档位</x:v>
      </x:c>
      <x:c r="L4" s="12" t="str">
        <x:v>长尾词数</x:v>
      </x:c>
      <x:c r="M4" s="12" t="str">
        <x:v>SERP竞争</x:v>
      </x:c>
      <x:c r="N4" s="12" t="str">
        <x:v>趋势分</x:v>
      </x:c>
      <x:c r="O4" s="12" t="str">
        <x:v>KD分</x:v>
      </x:c>
      <x:c r="P4" s="12" t="str">
        <x:v>长尾分</x:v>
      </x:c>
      <x:c r="Q4" s="12" t="str">
        <x:v>SERP分</x:v>
      </x:c>
      <x:c r="R4" s="12" t="str">
        <x:v>综合分</x:v>
      </x:c>
      <x:c r="S4" s="12" t="str">
        <x:v>结论</x:v>
      </x:c>
      <x:c r="T4" s="12" t="str">
        <x:v>核心原因</x:v>
      </x:c>
      <x:c r="U4" s="12" t="str">
        <x:v>SteamDB</x:v>
      </x:c>
      <x:c r="V4" s="12" t="str">
        <x:v>Google Trends复核</x:v>
      </x:c>
      <x:c r="W4" s="12" t="str">
        <x:v>SERP样本</x:v>
      </x:c>
    </x:row>
    <x:row r="5" ht="84" customHeight="1">
      <x:c r="A5" s="20" t="str">
        <x:f>'输入与规则'!A5</x:f>
        <x:v>Big Walk</x:v>
      </x:c>
      <x:c r="B5" s="21" t="n">
        <x:f>'输入与规则'!B5</x:f>
        <x:v>46238</x:v>
      </x:c>
      <x:c r="C5" s="30" t="n">
        <x:f>MAX(0,DATE(2026,8,15)-B5)</x:f>
        <x:v>11</x:v>
      </x:c>
      <x:c r="D5" s="22" t="n">
        <x:f>'输入与规则'!C5</x:f>
        <x:v>25553</x:v>
      </x:c>
      <x:c r="E5" s="22" t="n">
        <x:f>'输入与规则'!D5</x:f>
        <x:v>46409</x:v>
      </x:c>
      <x:c r="F5" s="31" t="n">
        <x:f>IFERROR(D5/E5,0)</x:f>
        <x:v>0.5506044086276369</x:v>
      </x:c>
      <x:c r="G5" s="23" t="n">
        <x:f>'输入与规则'!E5</x:f>
        <x:v>0.9135</x:v>
      </x:c>
      <x:c r="H5" s="24" t="n">
        <x:f>'输入与规则'!F5</x:f>
        <x:v>9</x:v>
      </x:c>
      <x:c r="I5" s="32" t="str">
        <x:f>IF(AND(C5&lt;=5,F5&gt;=0.4),"涨",IF(F5&gt;=0.5,"平","跌"))</x:f>
        <x:v>平</x:v>
      </x:c>
      <x:c r="J5" s="24" t="n">
        <x:f>'输入与规则'!G5</x:f>
        <x:v>38</x:v>
      </x:c>
      <x:c r="K5" s="32" t="str">
        <x:f>IF(J5&lt;=20,"低",IF(J5&lt;=30,"中低",IF(J5&lt;=40,"中",IF(J5&lt;=50,"中高","高"))))</x:f>
        <x:v>中</x:v>
      </x:c>
      <x:c r="L5" s="32" t="n">
        <x:f>COUNTIF('细分关键词'!$A$5:$A$250,A5)</x:f>
        <x:v>20</x:v>
      </x:c>
      <x:c r="M5" s="24" t="str">
        <x:f>'输入与规则'!H5</x:f>
        <x:v>中高</x:v>
      </x:c>
      <x:c r="N5" s="32" t="n">
        <x:f>IF(I5="涨",30,IF(I5="平",20,5))</x:f>
        <x:v>20</x:v>
      </x:c>
      <x:c r="O5" s="32" t="n">
        <x:f>IF(J5&lt;=20,30,IF(J5&lt;=30,25,IF(J5&lt;=40,15,IF(J5&lt;=50,8,0))))</x:f>
        <x:v>15</x:v>
      </x:c>
      <x:c r="P5" s="32" t="n">
        <x:f>IF(L5&gt;=15,20,IF(L5&gt;=10,15,IF(L5&gt;=6,8,3)))</x:f>
        <x:v>20</x:v>
      </x:c>
      <x:c r="Q5" s="32" t="n">
        <x:f>IF(M5="低",20,IF(M5="中低",16,IF(M5="中",10,IF(M5="中高",5,0))))</x:f>
        <x:v>5</x:v>
      </x:c>
      <x:c r="R5" s="32" t="n">
        <x:f>SUM(N5:Q5)</x:f>
        <x:v>60</x:v>
      </x:c>
      <x:c r="S5" s="28" t="str">
        <x:f>IF(R5&gt;=65,"做",IF(R5&gt;=55,"谨慎做","不做"))</x:f>
        <x:v>谨慎做</x:v>
      </x:c>
      <x:c r="T5" s="28" t="str">
        <x:f>'输入与规则'!J5</x:f>
        <x:v>主词已有专属Wiki和PC Gamer谜题页；不建议正面抢主词，可围绕单个谜题、坐标和物品位置做长尾。</x:v>
      </x:c>
      <x:c r="U5" s="28" t="str">
        <x:f>'输入与规则'!K5</x:f>
        <x:v>https://steamdb.info/app/1478500/charts/</x:v>
      </x:c>
      <x:c r="V5" s="28" t="str">
        <x:v>https://trends.google.com/trends/explore?date=today%201-m&amp;geo=&amp;q=Big%20Walk,GPTs</x:v>
      </x:c>
      <x:c r="W5" s="28" t="str">
        <x:f>'输入与规则'!L5</x:f>
        <x:v>https://bigwalk.wiki/</x:v>
      </x:c>
    </x:row>
    <x:row r="6" ht="84" customHeight="1">
      <x:c r="A6" s="20" t="str">
        <x:f>'输入与规则'!A6</x:f>
        <x:v>Mistfall Hunter</x:v>
      </x:c>
      <x:c r="B6" s="21" t="n">
        <x:f>'输入与规则'!B6</x:f>
        <x:v>46232</x:v>
      </x:c>
      <x:c r="C6" s="30" t="n">
        <x:f>MAX(0,DATE(2026,8,15)-B6)</x:f>
        <x:v>17</x:v>
      </x:c>
      <x:c r="D6" s="22" t="n">
        <x:f>'输入与规则'!C6</x:f>
        <x:v>26790</x:v>
      </x:c>
      <x:c r="E6" s="22" t="n">
        <x:f>'输入与规则'!D6</x:f>
        <x:v>44472</x:v>
      </x:c>
      <x:c r="F6" s="31" t="n">
        <x:f>IFERROR(D6/E6,0)</x:f>
        <x:v>0.6024015110631409</x:v>
      </x:c>
      <x:c r="G6" s="23" t="n">
        <x:f>'输入与规则'!E6</x:f>
        <x:v>0.5908</x:v>
      </x:c>
      <x:c r="H6" s="24" t="n">
        <x:f>'输入与规则'!F6</x:f>
        <x:v>43</x:v>
      </x:c>
      <x:c r="I6" s="32" t="str">
        <x:f>IF(AND(C6&lt;=5,F6&gt;=0.4),"涨",IF(F6&gt;=0.5,"平","跌"))</x:f>
        <x:v>平</x:v>
      </x:c>
      <x:c r="J6" s="24" t="n">
        <x:f>'输入与规则'!G6</x:f>
        <x:v>58</x:v>
      </x:c>
      <x:c r="K6" s="32" t="str">
        <x:f>IF(J6&lt;=20,"低",IF(J6&lt;=30,"中低",IF(J6&lt;=40,"中",IF(J6&lt;=50,"中高","高"))))</x:f>
        <x:v>高</x:v>
      </x:c>
      <x:c r="L6" s="32" t="n">
        <x:f>COUNTIF('细分关键词'!$A$5:$A$250,A6)</x:f>
        <x:v>24</x:v>
      </x:c>
      <x:c r="M6" s="24" t="str">
        <x:f>'输入与规则'!H6</x:f>
        <x:v>高</x:v>
      </x:c>
      <x:c r="N6" s="32" t="n">
        <x:f>IF(I6="涨",30,IF(I6="平",20,5))</x:f>
        <x:v>20</x:v>
      </x:c>
      <x:c r="O6" s="32" t="n">
        <x:f>IF(J6&lt;=20,30,IF(J6&lt;=30,25,IF(J6&lt;=40,15,IF(J6&lt;=50,8,0))))</x:f>
        <x:v>0</x:v>
      </x:c>
      <x:c r="P6" s="32" t="n">
        <x:f>IF(L6&gt;=15,20,IF(L6&gt;=10,15,IF(L6&gt;=6,8,3)))</x:f>
        <x:v>20</x:v>
      </x:c>
      <x:c r="Q6" s="32" t="n">
        <x:f>IF(M6="低",20,IF(M6="中低",16,IF(M6="中",10,IF(M6="中高",5,0))))</x:f>
        <x:v>0</x:v>
      </x:c>
      <x:c r="R6" s="32" t="n">
        <x:f>SUM(N6:Q6)</x:f>
        <x:v>40</x:v>
      </x:c>
      <x:c r="S6" s="28" t="str">
        <x:f>IF(R6&gt;=65,"做",IF(R6&gt;=55,"谨慎做","不做"))</x:f>
        <x:v>不做</x:v>
      </x:c>
      <x:c r="T6" s="28" t="str">
        <x:f>'输入与规则'!J6</x:f>
        <x:v>长尾非常多，但已有多家专属Wiki和工具站提前卡位；新站很难靠普通攻略形成差异化。</x:v>
      </x:c>
      <x:c r="U6" s="28" t="str">
        <x:f>'输入与规则'!K6</x:f>
        <x:v>https://steamdb.info/app/3282300/charts/</x:v>
      </x:c>
      <x:c r="V6" s="28" t="str">
        <x:v>https://trends.google.com/trends/explore?date=today%201-m&amp;geo=&amp;q=Mistfall%20Hunter,GPTs</x:v>
      </x:c>
      <x:c r="W6" s="28" t="str">
        <x:f>'输入与规则'!L6</x:f>
        <x:v>https://www.mistfallhunterwiki.wiki/</x:v>
      </x:c>
    </x:row>
    <x:row r="7" ht="84" customHeight="1">
      <x:c r="A7" s="20" t="str">
        <x:f>'输入与规则'!A7</x:f>
        <x:v>Shift At Midnight</x:v>
      </x:c>
      <x:c r="B7" s="21" t="n">
        <x:f>'输入与规则'!B7</x:f>
        <x:v>46225</x:v>
      </x:c>
      <x:c r="C7" s="30" t="n">
        <x:f>MAX(0,DATE(2026,8,15)-B7)</x:f>
        <x:v>24</x:v>
      </x:c>
      <x:c r="D7" s="22" t="n">
        <x:f>'输入与规则'!C7</x:f>
        <x:v>12331</x:v>
      </x:c>
      <x:c r="E7" s="22" t="n">
        <x:f>'输入与规则'!D7</x:f>
        <x:v>37590</x:v>
      </x:c>
      <x:c r="F7" s="31" t="n">
        <x:f>IFERROR(D7/E7,0)</x:f>
        <x:v>0.32803937217345036</x:v>
      </x:c>
      <x:c r="G7" s="23" t="n">
        <x:f>'输入与规则'!E7</x:f>
        <x:v>0.855</x:v>
      </x:c>
      <x:c r="H7" s="24" t="n">
        <x:f>'输入与规则'!F7</x:f>
        <x:v>53</x:v>
      </x:c>
      <x:c r="I7" s="32" t="str">
        <x:f>IF(AND(C7&lt;=5,F7&gt;=0.4),"涨",IF(F7&gt;=0.5,"平","跌"))</x:f>
        <x:v>跌</x:v>
      </x:c>
      <x:c r="J7" s="24" t="n">
        <x:f>'输入与规则'!G7</x:f>
        <x:v>29</x:v>
      </x:c>
      <x:c r="K7" s="32" t="str">
        <x:f>IF(J7&lt;=20,"低",IF(J7&lt;=30,"中低",IF(J7&lt;=40,"中",IF(J7&lt;=50,"中高","高"))))</x:f>
        <x:v>中低</x:v>
      </x:c>
      <x:c r="L7" s="32" t="n">
        <x:f>COUNTIF('细分关键词'!$A$5:$A$250,A7)</x:f>
        <x:v>18</x:v>
      </x:c>
      <x:c r="M7" s="24" t="str">
        <x:f>'输入与规则'!H7</x:f>
        <x:v>低</x:v>
      </x:c>
      <x:c r="N7" s="32" t="n">
        <x:f>IF(I7="涨",30,IF(I7="平",20,5))</x:f>
        <x:v>5</x:v>
      </x:c>
      <x:c r="O7" s="32" t="n">
        <x:f>IF(J7&lt;=20,30,IF(J7&lt;=30,25,IF(J7&lt;=40,15,IF(J7&lt;=50,8,0))))</x:f>
        <x:v>25</x:v>
      </x:c>
      <x:c r="P7" s="32" t="n">
        <x:f>IF(L7&gt;=15,20,IF(L7&gt;=10,15,IF(L7&gt;=6,8,3)))</x:f>
        <x:v>20</x:v>
      </x:c>
      <x:c r="Q7" s="32" t="n">
        <x:f>IF(M7="低",20,IF(M7="中低",16,IF(M7="中",10,IF(M7="中高",5,0))))</x:f>
        <x:v>20</x:v>
      </x:c>
      <x:c r="R7" s="32" t="n">
        <x:f>SUM(N7:Q7)</x:f>
        <x:v>70</x:v>
      </x:c>
      <x:c r="S7" s="28" t="str">
        <x:f>IF(R7&gt;=65,"做",IF(R7&gt;=55,"谨慎做","不做"))</x:f>
        <x:v>做</x:v>
      </x:c>
      <x:c r="T7" s="28" t="str">
        <x:f>'输入与规则'!J7</x:f>
        <x:v>主词热度回落，但怪物识别、顾客判断、陷阱和联机故障等需求清晰，适合做小型垂直站。</x:v>
      </x:c>
      <x:c r="U7" s="28" t="str">
        <x:f>'输入与规则'!K7</x:f>
        <x:v>https://steamdb.info/app/3722330/charts/</x:v>
      </x:c>
      <x:c r="V7" s="28" t="str">
        <x:v>https://trends.google.com/trends/explore?date=today%201-m&amp;geo=&amp;q=Shift%20At%20Midnight,GPTs</x:v>
      </x:c>
      <x:c r="W7" s="28" t="str">
        <x:f>'输入与规则'!L7</x:f>
        <x:v>https://www.windowscentral.com/gaming/this-viral-steam-pc-horror-game-is-coming-exclusive-to-xbox-on-consoles-next-week-with-game-pass-and-play-anywhere</x:v>
      </x:c>
    </x:row>
    <x:row r="8" ht="84" customHeight="1">
      <x:c r="A8" s="20" t="str">
        <x:f>'输入与规则'!A8</x:f>
        <x:v>Hell Let Loose: Vietnam</x:v>
      </x:c>
      <x:c r="B8" s="21" t="n">
        <x:f>'输入与规则'!B8</x:f>
        <x:v>46247</x:v>
      </x:c>
      <x:c r="C8" s="30" t="n">
        <x:f>MAX(0,DATE(2026,8,15)-B8)</x:f>
        <x:v>2</x:v>
      </x:c>
      <x:c r="D8" s="22" t="n">
        <x:f>'输入与规则'!C8</x:f>
        <x:v>14741</x:v>
      </x:c>
      <x:c r="E8" s="22" t="n">
        <x:f>'输入与规则'!D8</x:f>
        <x:v>30614</x:v>
      </x:c>
      <x:c r="F8" s="31" t="n">
        <x:f>IFERROR(D8/E8,0)</x:f>
        <x:v>0.4815117266610048</x:v>
      </x:c>
      <x:c r="G8" s="23" t="n">
        <x:f>'输入与规则'!E8</x:f>
        <x:v>0.5824</x:v>
      </x:c>
      <x:c r="H8" s="24" t="n">
        <x:f>'输入与规则'!F8</x:f>
        <x:v>8</x:v>
      </x:c>
      <x:c r="I8" s="32" t="str">
        <x:f>IF(AND(C8&lt;=5,F8&gt;=0.4),"涨",IF(F8&gt;=0.5,"平","跌"))</x:f>
        <x:v>涨</x:v>
      </x:c>
      <x:c r="J8" s="24" t="n">
        <x:f>'输入与规则'!G8</x:f>
        <x:v>61</x:v>
      </x:c>
      <x:c r="K8" s="32" t="str">
        <x:f>IF(J8&lt;=20,"低",IF(J8&lt;=30,"中低",IF(J8&lt;=40,"中",IF(J8&lt;=50,"中高","高"))))</x:f>
        <x:v>高</x:v>
      </x:c>
      <x:c r="L8" s="32" t="n">
        <x:f>COUNTIF('细分关键词'!$A$5:$A$250,A8)</x:f>
        <x:v>22</x:v>
      </x:c>
      <x:c r="M8" s="24" t="str">
        <x:f>'输入与规则'!H8</x:f>
        <x:v>高</x:v>
      </x:c>
      <x:c r="N8" s="32" t="n">
        <x:f>IF(I8="涨",30,IF(I8="平",20,5))</x:f>
        <x:v>30</x:v>
      </x:c>
      <x:c r="O8" s="32" t="n">
        <x:f>IF(J8&lt;=20,30,IF(J8&lt;=30,25,IF(J8&lt;=40,15,IF(J8&lt;=50,8,0))))</x:f>
        <x:v>0</x:v>
      </x:c>
      <x:c r="P8" s="32" t="n">
        <x:f>IF(L8&gt;=15,20,IF(L8&gt;=10,15,IF(L8&gt;=6,8,3)))</x:f>
        <x:v>20</x:v>
      </x:c>
      <x:c r="Q8" s="32" t="n">
        <x:f>IF(M8="低",20,IF(M8="中低",16,IF(M8="中",10,IF(M8="中高",5,0))))</x:f>
        <x:v>0</x:v>
      </x:c>
      <x:c r="R8" s="32" t="n">
        <x:f>SUM(N8:Q8)</x:f>
        <x:v>50</x:v>
      </x:c>
      <x:c r="S8" s="28" t="str">
        <x:f>IF(R8&gt;=65,"做",IF(R8&gt;=55,"谨慎做","不做"))</x:f>
        <x:v>不做</x:v>
      </x:c>
      <x:c r="T8" s="28" t="str">
        <x:f>'输入与规则'!J8</x:f>
        <x:v>上线热度高、可拆词多，但已有专属Wiki、原作社区和大型媒体，新手不宜正面做主站。</x:v>
      </x:c>
      <x:c r="U8" s="28" t="str">
        <x:f>'输入与规则'!K8</x:f>
        <x:v>https://steamdb.info/app/3079210/charts/</x:v>
      </x:c>
      <x:c r="V8" s="28" t="str">
        <x:v>https://trends.google.com/trends/explore?date=today%201-m&amp;geo=&amp;q=Hell%20Let%20Loose%3A%20Vietnam,GPTs</x:v>
      </x:c>
      <x:c r="W8" s="28" t="str">
        <x:f>'输入与规则'!L8</x:f>
        <x:v>https://hell-let-loose.wiki/</x:v>
      </x:c>
    </x:row>
    <x:row r="9" ht="84" customHeight="1">
      <x:c r="A9" s="20" t="str">
        <x:f>'输入与规则'!A9</x:f>
        <x:v>Servant of the Lake</x:v>
      </x:c>
      <x:c r="B9" s="21" t="n">
        <x:f>'输入与规则'!B9</x:f>
        <x:v>46247</x:v>
      </x:c>
      <x:c r="C9" s="30" t="n">
        <x:f>MAX(0,DATE(2026,8,15)-B9)</x:f>
        <x:v>2</x:v>
      </x:c>
      <x:c r="D9" s="22" t="n">
        <x:f>'输入与规则'!C9</x:f>
        <x:v>13523</x:v>
      </x:c>
      <x:c r="E9" s="22" t="n">
        <x:f>'输入与规则'!D9</x:f>
        <x:v>28533</x:v>
      </x:c>
      <x:c r="F9" s="31" t="n">
        <x:f>IFERROR(D9/E9,0)</x:f>
        <x:v>0.4739424525987453</x:v>
      </x:c>
      <x:c r="G9" s="23" t="n">
        <x:f>'输入与规则'!E9</x:f>
        <x:v>0.9393</x:v>
      </x:c>
      <x:c r="H9" s="24" t="n">
        <x:f>'输入与规则'!F9</x:f>
        <x:v>56</x:v>
      </x:c>
      <x:c r="I9" s="32" t="str">
        <x:f>IF(AND(C9&lt;=5,F9&gt;=0.4),"涨",IF(F9&gt;=0.5,"平","跌"))</x:f>
        <x:v>涨</x:v>
      </x:c>
      <x:c r="J9" s="24" t="n">
        <x:f>'输入与规则'!G9</x:f>
        <x:v>24</x:v>
      </x:c>
      <x:c r="K9" s="32" t="str">
        <x:f>IF(J9&lt;=20,"低",IF(J9&lt;=30,"中低",IF(J9&lt;=40,"中",IF(J9&lt;=50,"中高","高"))))</x:f>
        <x:v>中低</x:v>
      </x:c>
      <x:c r="L9" s="32" t="n">
        <x:f>COUNTIF('细分关键词'!$A$5:$A$250,A9)</x:f>
        <x:v>24</x:v>
      </x:c>
      <x:c r="M9" s="24" t="str">
        <x:f>'输入与规则'!H9</x:f>
        <x:v>中低</x:v>
      </x:c>
      <x:c r="N9" s="32" t="n">
        <x:f>IF(I9="涨",30,IF(I9="平",20,5))</x:f>
        <x:v>30</x:v>
      </x:c>
      <x:c r="O9" s="32" t="n">
        <x:f>IF(J9&lt;=20,30,IF(J9&lt;=30,25,IF(J9&lt;=40,15,IF(J9&lt;=50,8,0))))</x:f>
        <x:v>25</x:v>
      </x:c>
      <x:c r="P9" s="32" t="n">
        <x:f>IF(L9&gt;=15,20,IF(L9&gt;=10,15,IF(L9&gt;=6,8,3)))</x:f>
        <x:v>20</x:v>
      </x:c>
      <x:c r="Q9" s="32" t="n">
        <x:f>IF(M9="低",20,IF(M9="中低",16,IF(M9="中",10,IF(M9="中高",5,0))))</x:f>
        <x:v>16</x:v>
      </x:c>
      <x:c r="R9" s="32" t="n">
        <x:f>SUM(N9:Q9)</x:f>
        <x:v>91</x:v>
      </x:c>
      <x:c r="S9" s="28" t="str">
        <x:f>IF(R9&gt;=65,"做",IF(R9&gt;=55,"谨慎做","不做"))</x:f>
        <x:v>做</x:v>
      </x:c>
      <x:c r="T9" s="28" t="str">
        <x:f>'输入与规则'!J9</x:f>
        <x:v>评分高、谜题长尾密集，当前首页主要是视频和少量旧Demo攻略，适合快速覆盖全流程。</x:v>
      </x:c>
      <x:c r="U9" s="28" t="str">
        <x:f>'输入与规则'!K9</x:f>
        <x:v>https://steamdb.info/app/3636770/charts/</x:v>
      </x:c>
      <x:c r="V9" s="28" t="str">
        <x:v>https://trends.google.com/trends/explore?date=today%201-m&amp;geo=&amp;q=Servant%20of%20the%20Lake,GPTs</x:v>
      </x:c>
      <x:c r="W9" s="28" t="str">
        <x:f>'输入与规则'!L9</x:f>
        <x:v>https://www.appunwrapper.com/2025/10/13/servant-of-the-lake-demo-walkthrough-guide/</x:v>
      </x:c>
    </x:row>
    <x:row r="10" ht="84" customHeight="1">
      <x:c r="A10" s="20" t="str">
        <x:f>'输入与规则'!A10</x:f>
        <x:v>Halo: Campaign Evolved</x:v>
      </x:c>
      <x:c r="B10" s="21" t="n">
        <x:f>'输入与规则'!B10</x:f>
        <x:v>46231</x:v>
      </x:c>
      <x:c r="C10" s="30" t="n">
        <x:f>MAX(0,DATE(2026,8,15)-B10)</x:f>
        <x:v>18</x:v>
      </x:c>
      <x:c r="D10" s="22" t="n">
        <x:f>'输入与规则'!C10</x:f>
        <x:v>1617</x:v>
      </x:c>
      <x:c r="E10" s="22" t="n">
        <x:f>'输入与规则'!D10</x:f>
        <x:v>25376</x:v>
      </x:c>
      <x:c r="F10" s="31" t="n">
        <x:f>IFERROR(D10/E10,0)</x:f>
        <x:v>0.06372162673392182</x:v>
      </x:c>
      <x:c r="G10" s="23" t="n">
        <x:f>'输入与规则'!E10</x:f>
        <x:v>0.6173</x:v>
      </x:c>
      <x:c r="H10" s="24" t="n">
        <x:f>'输入与规则'!F10</x:f>
        <x:v>150</x:v>
      </x:c>
      <x:c r="I10" s="32" t="str">
        <x:f>IF(AND(C10&lt;=5,F10&gt;=0.4),"涨",IF(F10&gt;=0.5,"平","跌"))</x:f>
        <x:v>跌</x:v>
      </x:c>
      <x:c r="J10" s="24" t="n">
        <x:f>'输入与规则'!G10</x:f>
        <x:v>78</x:v>
      </x:c>
      <x:c r="K10" s="32" t="str">
        <x:f>IF(J10&lt;=20,"低",IF(J10&lt;=30,"中低",IF(J10&lt;=40,"中",IF(J10&lt;=50,"中高","高"))))</x:f>
        <x:v>高</x:v>
      </x:c>
      <x:c r="L10" s="32" t="n">
        <x:f>COUNTIF('细分关键词'!$A$5:$A$250,A10)</x:f>
        <x:v>30</x:v>
      </x:c>
      <x:c r="M10" s="24" t="str">
        <x:f>'输入与规则'!H10</x:f>
        <x:v>高</x:v>
      </x:c>
      <x:c r="N10" s="32" t="n">
        <x:f>IF(I10="涨",30,IF(I10="平",20,5))</x:f>
        <x:v>5</x:v>
      </x:c>
      <x:c r="O10" s="32" t="n">
        <x:f>IF(J10&lt;=20,30,IF(J10&lt;=30,25,IF(J10&lt;=40,15,IF(J10&lt;=50,8,0))))</x:f>
        <x:v>0</x:v>
      </x:c>
      <x:c r="P10" s="32" t="n">
        <x:f>IF(L10&gt;=15,20,IF(L10&gt;=10,15,IF(L10&gt;=6,8,3)))</x:f>
        <x:v>20</x:v>
      </x:c>
      <x:c r="Q10" s="32" t="n">
        <x:f>IF(M10="低",20,IF(M10="中低",16,IF(M10="中",10,IF(M10="中高",5,0))))</x:f>
        <x:v>0</x:v>
      </x:c>
      <x:c r="R10" s="32" t="n">
        <x:f>SUM(N10:Q10)</x:f>
        <x:v>25</x:v>
      </x:c>
      <x:c r="S10" s="28" t="str">
        <x:f>IF(R10&gt;=65,"做",IF(R10&gt;=55,"谨慎做","不做"))</x:f>
        <x:v>不做</x:v>
      </x:c>
      <x:c r="T10" s="28" t="str">
        <x:f>'输入与规则'!J10</x:f>
        <x:v>GameSpot、Neoseeker、Vandal和专属Wiki已覆盖骷髅、任务与收集品；不适合新站正面竞争。</x:v>
      </x:c>
      <x:c r="U10" s="28" t="str">
        <x:f>'输入与规则'!K10</x:f>
        <x:v>https://steamdb.info/app/2806050/charts/</x:v>
      </x:c>
      <x:c r="V10" s="28" t="str">
        <x:v>https://trends.google.com/trends/explore?date=today%201-m&amp;geo=&amp;q=Halo%3A%20Campaign%20Evolved,GPTs</x:v>
      </x:c>
      <x:c r="W10" s="28" t="str">
        <x:f>'输入与规则'!L10</x:f>
        <x:v>https://www.gamespot.com/articles/halo-campaign-evolved-every-skull-location/</x:v>
      </x:c>
    </x:row>
    <x:row r="11" ht="84" customHeight="1">
      <x:c r="A11" s="20" t="str">
        <x:f>'输入与规则'!A11</x:f>
        <x:v>MARVEL Tōkon: Fighting Souls</x:v>
      </x:c>
      <x:c r="B11" s="21" t="n">
        <x:f>'输入与规则'!B11</x:f>
        <x:v>46240</x:v>
      </x:c>
      <x:c r="C11" s="30" t="n">
        <x:f>MAX(0,DATE(2026,8,15)-B11)</x:f>
        <x:v>9</x:v>
      </x:c>
      <x:c r="D11" s="22" t="n">
        <x:f>'输入与规则'!C11</x:f>
        <x:v>4601</x:v>
      </x:c>
      <x:c r="E11" s="22" t="n">
        <x:f>'输入与规则'!D11</x:f>
        <x:v>24498</x:v>
      </x:c>
      <x:c r="F11" s="31" t="n">
        <x:f>IFERROR(D11/E11,0)</x:f>
        <x:v>0.18781124989795087</x:v>
      </x:c>
      <x:c r="G11" s="23" t="n">
        <x:f>'输入与规则'!E11</x:f>
        <x:v>0.486</x:v>
      </x:c>
      <x:c r="H11" s="24" t="n">
        <x:f>'输入与规则'!F11</x:f>
        <x:v>63</x:v>
      </x:c>
      <x:c r="I11" s="32" t="str">
        <x:f>IF(AND(C11&lt;=5,F11&gt;=0.4),"涨",IF(F11&gt;=0.5,"平","跌"))</x:f>
        <x:v>跌</x:v>
      </x:c>
      <x:c r="J11" s="24" t="n">
        <x:f>'输入与规则'!G11</x:f>
        <x:v>74</x:v>
      </x:c>
      <x:c r="K11" s="32" t="str">
        <x:f>IF(J11&lt;=20,"低",IF(J11&lt;=30,"中低",IF(J11&lt;=40,"中",IF(J11&lt;=50,"中高","高"))))</x:f>
        <x:v>高</x:v>
      </x:c>
      <x:c r="L11" s="32" t="n">
        <x:f>COUNTIF('细分关键词'!$A$5:$A$250,A11)</x:f>
        <x:v>26</x:v>
      </x:c>
      <x:c r="M11" s="24" t="str">
        <x:f>'输入与规则'!H11</x:f>
        <x:v>高</x:v>
      </x:c>
      <x:c r="N11" s="32" t="n">
        <x:f>IF(I11="涨",30,IF(I11="平",20,5))</x:f>
        <x:v>5</x:v>
      </x:c>
      <x:c r="O11" s="32" t="n">
        <x:f>IF(J11&lt;=20,30,IF(J11&lt;=30,25,IF(J11&lt;=40,15,IF(J11&lt;=50,8,0))))</x:f>
        <x:v>0</x:v>
      </x:c>
      <x:c r="P11" s="32" t="n">
        <x:f>IF(L11&gt;=15,20,IF(L11&gt;=10,15,IF(L11&gt;=6,8,3)))</x:f>
        <x:v>20</x:v>
      </x:c>
      <x:c r="Q11" s="32" t="n">
        <x:f>IF(M11="低",20,IF(M11="中低",16,IF(M11="中",10,IF(M11="中高",5,0))))</x:f>
        <x:v>0</x:v>
      </x:c>
      <x:c r="R11" s="32" t="n">
        <x:f>SUM(N11:Q11)</x:f>
        <x:v>25</x:v>
      </x:c>
      <x:c r="S11" s="28" t="str">
        <x:f>IF(R11&gt;=65,"做",IF(R11&gt;=55,"谨慎做","不做"))</x:f>
        <x:v>不做</x:v>
      </x:c>
      <x:c r="T11" s="28" t="str">
        <x:f>'输入与规则'!J11</x:f>
        <x:v>角色连招和Tier List需求多，但官方指南、Dot Esports、视频作者和专属Wiki已占位，主词不建议做。</x:v>
      </x:c>
      <x:c r="U11" s="28" t="str">
        <x:f>'输入与规则'!K11</x:f>
        <x:v>https://steamdb.info/app/3787240/charts/</x:v>
      </x:c>
      <x:c r="V11" s="28" t="str">
        <x:v>https://trends.google.com/trends/explore?date=today%201-m&amp;geo=&amp;q=MARVEL%20T%C5%8Dkon%3A%20Fighting%20Souls,GPTs</x:v>
      </x:c>
      <x:c r="W11" s="28" t="str">
        <x:f>'输入与规则'!L11</x:f>
        <x:v>https://dotesports.com/marvel/guides/marvel-tokon-fighting-souls-beginner-combos</x:v>
      </x:c>
    </x:row>
    <x:row r="12" ht="84" customHeight="1">
      <x:c r="A12" s="20" t="str">
        <x:f>'输入与规则'!A12</x:f>
        <x:v>ReStory: Chill Electronics Repairs</x:v>
      </x:c>
      <x:c r="B12" s="21" t="n">
        <x:f>'输入与规则'!B12</x:f>
        <x:v>46240</x:v>
      </x:c>
      <x:c r="C12" s="30" t="n">
        <x:f>MAX(0,DATE(2026,8,15)-B12)</x:f>
        <x:v>9</x:v>
      </x:c>
      <x:c r="D12" s="22" t="n">
        <x:f>'输入与规则'!C12</x:f>
        <x:v>10353</x:v>
      </x:c>
      <x:c r="E12" s="22" t="n">
        <x:f>'输入与规则'!D12</x:f>
        <x:v>19647</x:v>
      </x:c>
      <x:c r="F12" s="31" t="n">
        <x:f>IFERROR(D12/E12,0)</x:f>
        <x:v>0.5269506794930524</x:v>
      </x:c>
      <x:c r="G12" s="23" t="n">
        <x:f>'输入与规则'!E12</x:f>
        <x:v>0.9256</x:v>
      </x:c>
      <x:c r="H12" s="24" t="n">
        <x:f>'输入与规则'!F12</x:f>
        <x:v>48</x:v>
      </x:c>
      <x:c r="I12" s="32" t="str">
        <x:f>IF(AND(C12&lt;=5,F12&gt;=0.4),"涨",IF(F12&gt;=0.5,"平","跌"))</x:f>
        <x:v>平</x:v>
      </x:c>
      <x:c r="J12" s="24" t="n">
        <x:f>'输入与规则'!G12</x:f>
        <x:v>22</x:v>
      </x:c>
      <x:c r="K12" s="32" t="str">
        <x:f>IF(J12&lt;=20,"低",IF(J12&lt;=30,"中低",IF(J12&lt;=40,"中",IF(J12&lt;=50,"中高","高"))))</x:f>
        <x:v>中低</x:v>
      </x:c>
      <x:c r="L12" s="32" t="n">
        <x:f>COUNTIF('细分关键词'!$A$5:$A$250,A12)</x:f>
        <x:v>20</x:v>
      </x:c>
      <x:c r="M12" s="24" t="str">
        <x:f>'输入与规则'!H12</x:f>
        <x:v>低</x:v>
      </x:c>
      <x:c r="N12" s="32" t="n">
        <x:f>IF(I12="涨",30,IF(I12="平",20,5))</x:f>
        <x:v>20</x:v>
      </x:c>
      <x:c r="O12" s="32" t="n">
        <x:f>IF(J12&lt;=20,30,IF(J12&lt;=30,25,IF(J12&lt;=40,15,IF(J12&lt;=50,8,0))))</x:f>
        <x:v>25</x:v>
      </x:c>
      <x:c r="P12" s="32" t="n">
        <x:f>IF(L12&gt;=15,20,IF(L12&gt;=10,15,IF(L12&gt;=6,8,3)))</x:f>
        <x:v>20</x:v>
      </x:c>
      <x:c r="Q12" s="32" t="n">
        <x:f>IF(M12="低",20,IF(M12="中低",16,IF(M12="中",10,IF(M12="中高",5,0))))</x:f>
        <x:v>20</x:v>
      </x:c>
      <x:c r="R12" s="32" t="n">
        <x:f>SUM(N12:Q12)</x:f>
        <x:v>85</x:v>
      </x:c>
      <x:c r="S12" s="28" t="str">
        <x:f>IF(R12&gt;=65,"做",IF(R12&gt;=55,"谨慎做","不做"))</x:f>
        <x:v>做</x:v>
      </x:c>
      <x:c r="T12" s="28" t="str">
        <x:f>'输入与规则'!J12</x:f>
        <x:v>维修步骤、零件、顾客选择和店铺升级需求明确，专门文字攻略稀缺，适合抢占。</x:v>
      </x:c>
      <x:c r="U12" s="28" t="str">
        <x:f>'输入与规则'!K12</x:f>
        <x:v>https://steamdb.info/app/3812600/charts/</x:v>
      </x:c>
      <x:c r="V12" s="28" t="str">
        <x:v>https://trends.google.com/trends/explore?date=today%201-m&amp;geo=&amp;q=ReStory%3A%20Chill%20Electronics%20Repairs,GPTs</x:v>
      </x:c>
      <x:c r="W12" s="28" t="str">
        <x:f>'输入与规则'!L12</x:f>
        <x:v>https://as.com/meristation/noticias/restory-el-simulador-tranquilo-donde-arreglar-consolas-es-solo-el-principio-f202606-n/</x:v>
      </x:c>
    </x:row>
    <x:row r="13" ht="84" customHeight="1">
      <x:c r="A13" s="20" t="str">
        <x:f>'输入与规则'!A13</x:f>
        <x:v>IRON NEST: Heavy Turret Simulator</x:v>
      </x:c>
      <x:c r="B13" s="21" t="n">
        <x:f>'输入与规则'!B13</x:f>
        <x:v>46240</x:v>
      </x:c>
      <x:c r="C13" s="30" t="n">
        <x:f>MAX(0,DATE(2026,8,15)-B13)</x:f>
        <x:v>9</x:v>
      </x:c>
      <x:c r="D13" s="22" t="n">
        <x:f>'输入与规则'!C13</x:f>
        <x:v>9486</x:v>
      </x:c>
      <x:c r="E13" s="22" t="n">
        <x:f>'输入与规则'!D13</x:f>
        <x:v>17599</x:v>
      </x:c>
      <x:c r="F13" s="31" t="n">
        <x:f>IFERROR(D13/E13,0)</x:f>
        <x:v>0.5390078981760327</x:v>
      </x:c>
      <x:c r="G13" s="23" t="n">
        <x:f>'输入与规则'!E13</x:f>
        <x:v>0.9499</x:v>
      </x:c>
      <x:c r="H13" s="24" t="n">
        <x:f>'输入与规则'!F13</x:f>
        <x:v>28</x:v>
      </x:c>
      <x:c r="I13" s="32" t="str">
        <x:f>IF(AND(C13&lt;=5,F13&gt;=0.4),"涨",IF(F13&gt;=0.5,"平","跌"))</x:f>
        <x:v>平</x:v>
      </x:c>
      <x:c r="J13" s="24" t="n">
        <x:f>'输入与规则'!G13</x:f>
        <x:v>38</x:v>
      </x:c>
      <x:c r="K13" s="32" t="str">
        <x:f>IF(J13&lt;=20,"低",IF(J13&lt;=30,"中低",IF(J13&lt;=40,"中",IF(J13&lt;=50,"中高","高"))))</x:f>
        <x:v>中</x:v>
      </x:c>
      <x:c r="L13" s="32" t="n">
        <x:f>COUNTIF('细分关键词'!$A$5:$A$250,A13)</x:f>
        <x:v>22</x:v>
      </x:c>
      <x:c r="M13" s="24" t="str">
        <x:f>'输入与规则'!H13</x:f>
        <x:v>中高</x:v>
      </x:c>
      <x:c r="N13" s="32" t="n">
        <x:f>IF(I13="涨",30,IF(I13="平",20,5))</x:f>
        <x:v>20</x:v>
      </x:c>
      <x:c r="O13" s="32" t="n">
        <x:f>IF(J13&lt;=20,30,IF(J13&lt;=30,25,IF(J13&lt;=40,15,IF(J13&lt;=50,8,0))))</x:f>
        <x:v>15</x:v>
      </x:c>
      <x:c r="P13" s="32" t="n">
        <x:f>IF(L13&gt;=15,20,IF(L13&gt;=10,15,IF(L13&gt;=6,8,3)))</x:f>
        <x:v>20</x:v>
      </x:c>
      <x:c r="Q13" s="32" t="n">
        <x:f>IF(M13="低",20,IF(M13="中低",16,IF(M13="中",10,IF(M13="中高",5,0))))</x:f>
        <x:v>5</x:v>
      </x:c>
      <x:c r="R13" s="32" t="n">
        <x:f>SUM(N13:Q13)</x:f>
        <x:v>60</x:v>
      </x:c>
      <x:c r="S13" s="28" t="str">
        <x:f>IF(R13&gt;=65,"做",IF(R13&gt;=55,"谨慎做","不做"))</x:f>
        <x:v>谨慎做</x:v>
      </x:c>
      <x:c r="T13" s="28" t="str">
        <x:f>'输入与规则'!J13</x:f>
        <x:v>计算和操作长尾非常适合SEO，但已有Pro Game Guides和两个垂直站；建议只做细分工具/计算器与高难问题。</x:v>
      </x:c>
      <x:c r="U13" s="28" t="str">
        <x:f>'输入与规则'!K13</x:f>
        <x:v>https://steamdb.info/app/2950790/charts/</x:v>
      </x:c>
      <x:c r="V13" s="28" t="str">
        <x:v>https://trends.google.com/trends/explore?date=today%201-m&amp;geo=&amp;q=IRON%20NEST%3A%20Heavy%20Turret%20Simulator,GPTs</x:v>
      </x:c>
      <x:c r="W13" s="28" t="str">
        <x:f>'输入与规则'!L13</x:f>
        <x:v>https://progameguides.com/iron-nest/</x:v>
      </x:c>
    </x:row>
    <x:row r="14" ht="84" customHeight="1">
      <x:c r="A14" s="20" t="str">
        <x:f>'输入与规则'!A14</x:f>
        <x:v>Pax Autocratica</x:v>
      </x:c>
      <x:c r="B14" s="21" t="n">
        <x:f>'输入与规则'!B14</x:f>
        <x:v>46244</x:v>
      </x:c>
      <x:c r="C14" s="30" t="n">
        <x:f>MAX(0,DATE(2026,8,15)-B14)</x:f>
        <x:v>5</x:v>
      </x:c>
      <x:c r="D14" s="22" t="n">
        <x:f>'输入与规则'!C14</x:f>
        <x:v>5603</x:v>
      </x:c>
      <x:c r="E14" s="22" t="n">
        <x:f>'输入与规则'!D14</x:f>
        <x:v>5603</x:v>
      </x:c>
      <x:c r="F14" s="31" t="n">
        <x:f>IFERROR(D14/E14,0)</x:f>
        <x:v>1</x:v>
      </x:c>
      <x:c r="G14" s="23" t="n">
        <x:f>'输入与规则'!E14</x:f>
        <x:v>0.8671</x:v>
      </x:c>
      <x:c r="H14" s="24" t="n">
        <x:f>'输入与规则'!F14</x:f>
        <x:v>40</x:v>
      </x:c>
      <x:c r="I14" s="32" t="str">
        <x:f>IF(AND(C14&lt;=5,F14&gt;=0.4),"涨",IF(F14&gt;=0.5,"平","跌"))</x:f>
        <x:v>涨</x:v>
      </x:c>
      <x:c r="J14" s="24" t="n">
        <x:f>'输入与规则'!G14</x:f>
        <x:v>31</x:v>
      </x:c>
      <x:c r="K14" s="32" t="str">
        <x:f>IF(J14&lt;=20,"低",IF(J14&lt;=30,"中低",IF(J14&lt;=40,"中",IF(J14&lt;=50,"中高","高"))))</x:f>
        <x:v>中</x:v>
      </x:c>
      <x:c r="L14" s="32" t="n">
        <x:f>COUNTIF('细分关键词'!$A$5:$A$250,A14)</x:f>
        <x:v>24</x:v>
      </x:c>
      <x:c r="M14" s="24" t="str">
        <x:f>'输入与规则'!H14</x:f>
        <x:v>中低</x:v>
      </x:c>
      <x:c r="N14" s="32" t="n">
        <x:f>IF(I14="涨",30,IF(I14="平",20,5))</x:f>
        <x:v>30</x:v>
      </x:c>
      <x:c r="O14" s="32" t="n">
        <x:f>IF(J14&lt;=20,30,IF(J14&lt;=30,25,IF(J14&lt;=40,15,IF(J14&lt;=50,8,0))))</x:f>
        <x:v>15</x:v>
      </x:c>
      <x:c r="P14" s="32" t="n">
        <x:f>IF(L14&gt;=15,20,IF(L14&gt;=10,15,IF(L14&gt;=6,8,3)))</x:f>
        <x:v>20</x:v>
      </x:c>
      <x:c r="Q14" s="32" t="n">
        <x:f>IF(M14="低",20,IF(M14="中低",16,IF(M14="中",10,IF(M14="中高",5,0))))</x:f>
        <x:v>16</x:v>
      </x:c>
      <x:c r="R14" s="32" t="n">
        <x:f>SUM(N14:Q14)</x:f>
        <x:v>81</x:v>
      </x:c>
      <x:c r="S14" s="28" t="str">
        <x:f>IF(R14&gt;=65,"做",IF(R14&gt;=55,"谨慎做","不做"))</x:f>
        <x:v>做</x:v>
      </x:c>
      <x:c r="T14" s="28" t="str">
        <x:f>'输入与规则'!J14</x:f>
        <x:v>主流媒体覆盖少，玩家会搜索基地布局、忠诚、叛乱、生产和远征；适合尽快做深度攻略。</x:v>
      </x:c>
      <x:c r="U14" s="28" t="str">
        <x:f>'输入与规则'!K14</x:f>
        <x:v>https://steamdb.info/app/1067360/charts/</x:v>
      </x:c>
      <x:c r="V14" s="28" t="str">
        <x:v>https://trends.google.com/trends/explore?date=today%201-m&amp;geo=&amp;q=Pax%20Autocratica,GPTs</x:v>
      </x:c>
      <x:c r="W14" s="28" t="str">
        <x:f>'输入与规则'!L14</x:f>
        <x:v>https://paxautocraticawiki.com/prologue/vs-early-access/</x:v>
      </x:c>
    </x:row>
  </x:sheetData>
  <x:mergeCells>
    <x:mergeCell ref="A1:W1"/>
    <x:mergeCell ref="A2:W2"/>
  </x:mergeCells>
  <x:conditionalFormatting sqref="R5:R14">
    <x:cfRule type="colorScale" priority="1">
      <x:colorScale>
        <x:cfvo type="min"/>
        <x:cfvo type="percentile" val="50"/>
        <x:cfvo type="max"/>
        <x:color rgb="FFFDECEC"/>
        <x:color rgb="FFFFF4D6"/>
        <x:color rgb="FFE8F5E9"/>
      </x:colorScale>
    </x:cfRule>
  </x:conditionalFormatting>
  <x:conditionalFormatting sqref="S5:S14">
    <x:cfRule type="expression" dxfId="4" priority="2">
      <x:formula>S5="做"</x:formula>
    </x:cfRule>
    <x:cfRule type="expression" dxfId="5" priority="3">
      <x:formula>S5="谨慎做"</x:formula>
    </x:cfRule>
    <x:cfRule type="expression" dxfId="6" priority="4">
      <x:formula>S5="不做"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>
      <x:c r="A1" s="3" t="str">
        <x:v>细分关键词清单（人工整理，可落地内容集群）</x:v>
      </x:c>
      <x:c r="B1" s="3"/>
      <x:c r="C1" s="3"/>
      <x:c r="D1" s="3"/>
      <x:c r="E1" s="3"/>
      <x:c r="F1" s="3"/>
      <x:c r="G1" s="3"/>
    </x:row>
    <x:row r="2">
      <x:c r="A2" s="6" t="str">
        <x:v>数量用于判断表中的“细分关键词数量”。难度为基于主词KD的长尾估算，发布前请在Similarweb/SEMrush复核搜索量与真实KD。</x:v>
      </x:c>
      <x:c r="B2" s="6"/>
      <x:c r="C2" s="6"/>
      <x:c r="D2" s="6"/>
      <x:c r="E2" s="6"/>
      <x:c r="F2" s="6"/>
      <x:c r="G2" s="6"/>
    </x:row>
    <x:row r="4">
      <x:c r="A4" s="12" t="str">
        <x:v>游戏名</x:v>
      </x:c>
      <x:c r="B4" s="12" t="str">
        <x:v>细分关键词</x:v>
      </x:c>
      <x:c r="C4" s="12" t="str">
        <x:v>搜索意图</x:v>
      </x:c>
      <x:c r="D4" s="12" t="str">
        <x:v>优先级</x:v>
      </x:c>
      <x:c r="E4" s="12" t="str">
        <x:v>长尾难度估算</x:v>
      </x:c>
      <x:c r="F4" s="12" t="str">
        <x:v>建议页面类型</x:v>
      </x:c>
      <x:c r="G4" s="12" t="str">
        <x:v>搜索复核URL</x:v>
      </x:c>
    </x:row>
    <x:row r="5">
      <x:c r="A5" s="15" t="str">
        <x:v>Big Walk</x:v>
      </x:c>
      <x:c r="B5" s="15" t="str">
        <x:v>big walk beginner guide</x:v>
      </x:c>
      <x:c r="C5" s="15" t="str">
        <x:v>机制/入门</x:v>
      </x:c>
      <x:c r="D5" s="15" t="str">
        <x:v>P1</x:v>
      </x:c>
      <x:c r="E5" s="15" t="str">
        <x:v>中（约33）</x:v>
      </x:c>
      <x:c r="F5" s="15" t="str">
        <x:v>机制说明页</x:v>
      </x:c>
      <x:c r="G5" s="15" t="str">
        <x:v>https://www.google.com/search?q=big%20walk%20beginner%20guide</x:v>
      </x:c>
    </x:row>
    <x:row r="6">
      <x:c r="A6" s="15" t="str">
        <x:v>Big Walk</x:v>
      </x:c>
      <x:c r="B6" s="15" t="str">
        <x:v>big walk number puzzle 4166 1899</x:v>
      </x:c>
      <x:c r="C6" s="15" t="str">
        <x:v>流程/收集</x:v>
      </x:c>
      <x:c r="D6" s="15" t="str">
        <x:v>P1</x:v>
      </x:c>
      <x:c r="E6" s="15" t="str">
        <x:v>低（约24）</x:v>
      </x:c>
      <x:c r="F6" s="15" t="str">
        <x:v>分步骤攻略页</x:v>
      </x:c>
      <x:c r="G6" s="15" t="str">
        <x:v>https://www.google.com/search?q=big%20walk%20number%20puzzle%204166%201899</x:v>
      </x:c>
    </x:row>
    <x:row r="7">
      <x:c r="A7" s="15" t="str">
        <x:v>Big Walk</x:v>
      </x:c>
      <x:c r="B7" s="15" t="str">
        <x:v>big walk nubbin locations</x:v>
      </x:c>
      <x:c r="C7" s="15" t="str">
        <x:v>流程/收集</x:v>
      </x:c>
      <x:c r="D7" s="15" t="str">
        <x:v>P2</x:v>
      </x:c>
      <x:c r="E7" s="15" t="str">
        <x:v>低（约24）</x:v>
      </x:c>
      <x:c r="F7" s="15" t="str">
        <x:v>分步骤攻略页</x:v>
      </x:c>
      <x:c r="G7" s="15" t="str">
        <x:v>https://www.google.com/search?q=big%20walk%20nubbin%20locations</x:v>
      </x:c>
    </x:row>
    <x:row r="8">
      <x:c r="A8" s="15" t="str">
        <x:v>Big Walk</x:v>
      </x:c>
      <x:c r="B8" s="15" t="str">
        <x:v>big walk red tower puzzle</x:v>
      </x:c>
      <x:c r="C8" s="15" t="str">
        <x:v>流程/收集</x:v>
      </x:c>
      <x:c r="D8" s="15" t="str">
        <x:v>P1</x:v>
      </x:c>
      <x:c r="E8" s="15" t="str">
        <x:v>低（约29）</x:v>
      </x:c>
      <x:c r="F8" s="15" t="str">
        <x:v>分步骤攻略页</x:v>
      </x:c>
      <x:c r="G8" s="15" t="str">
        <x:v>https://www.google.com/search?q=big%20walk%20red%20tower%20puzzle</x:v>
      </x:c>
    </x:row>
    <x:row r="9">
      <x:c r="A9" s="15" t="str">
        <x:v>Big Walk</x:v>
      </x:c>
      <x:c r="B9" s="15" t="str">
        <x:v>big walk green tower puzzle</x:v>
      </x:c>
      <x:c r="C9" s="15" t="str">
        <x:v>流程/收集</x:v>
      </x:c>
      <x:c r="D9" s="15" t="str">
        <x:v>P1</x:v>
      </x:c>
      <x:c r="E9" s="15" t="str">
        <x:v>低（约29）</x:v>
      </x:c>
      <x:c r="F9" s="15" t="str">
        <x:v>分步骤攻略页</x:v>
      </x:c>
      <x:c r="G9" s="15" t="str">
        <x:v>https://www.google.com/search?q=big%20walk%20green%20tower%20puzzle</x:v>
      </x:c>
    </x:row>
    <x:row r="10">
      <x:c r="A10" s="15" t="str">
        <x:v>Big Walk</x:v>
      </x:c>
      <x:c r="B10" s="15" t="str">
        <x:v>big walk map location</x:v>
      </x:c>
      <x:c r="C10" s="15" t="str">
        <x:v>流程/收集</x:v>
      </x:c>
      <x:c r="D10" s="15" t="str">
        <x:v>P2</x:v>
      </x:c>
      <x:c r="E10" s="15" t="str">
        <x:v>低（约24）</x:v>
      </x:c>
      <x:c r="F10" s="15" t="str">
        <x:v>分步骤攻略页</x:v>
      </x:c>
      <x:c r="G10" s="15" t="str">
        <x:v>https://www.google.com/search?q=big%20walk%20map%20location</x:v>
      </x:c>
    </x:row>
    <x:row r="11">
      <x:c r="A11" s="15" t="str">
        <x:v>Big Walk</x:v>
      </x:c>
      <x:c r="B11" s="15" t="str">
        <x:v>big walk GPS location</x:v>
      </x:c>
      <x:c r="C11" s="15" t="str">
        <x:v>流程/收集</x:v>
      </x:c>
      <x:c r="D11" s="15" t="str">
        <x:v>P2</x:v>
      </x:c>
      <x:c r="E11" s="15" t="str">
        <x:v>低（约24）</x:v>
      </x:c>
      <x:c r="F11" s="15" t="str">
        <x:v>分步骤攻略页</x:v>
      </x:c>
      <x:c r="G11" s="15" t="str">
        <x:v>https://www.google.com/search?q=big%20walk%20GPS%20location</x:v>
      </x:c>
    </x:row>
    <x:row r="12">
      <x:c r="A12" s="15" t="str">
        <x:v>Big Walk</x:v>
      </x:c>
      <x:c r="B12" s="15" t="str">
        <x:v>big walk walkie talkie guide</x:v>
      </x:c>
      <x:c r="C12" s="15" t="str">
        <x:v>机制/入门</x:v>
      </x:c>
      <x:c r="D12" s="15" t="str">
        <x:v>P1</x:v>
      </x:c>
      <x:c r="E12" s="15" t="str">
        <x:v>低（约29）</x:v>
      </x:c>
      <x:c r="F12" s="15" t="str">
        <x:v>机制说明页</x:v>
      </x:c>
      <x:c r="G12" s="15" t="str">
        <x:v>https://www.google.com/search?q=big%20walk%20walkie%20talkie%20guide</x:v>
      </x:c>
    </x:row>
    <x:row r="13">
      <x:c r="A13" s="15" t="str">
        <x:v>Big Walk</x:v>
      </x:c>
      <x:c r="B13" s="15" t="str">
        <x:v>big walk all puzzles</x:v>
      </x:c>
      <x:c r="C13" s="15" t="str">
        <x:v>流程/收集</x:v>
      </x:c>
      <x:c r="D13" s="15" t="str">
        <x:v>P1</x:v>
      </x:c>
      <x:c r="E13" s="15" t="str">
        <x:v>中（约33）</x:v>
      </x:c>
      <x:c r="F13" s="15" t="str">
        <x:v>分步骤攻略页</x:v>
      </x:c>
      <x:c r="G13" s="15" t="str">
        <x:v>https://www.google.com/search?q=big%20walk%20all%20puzzles</x:v>
      </x:c>
    </x:row>
    <x:row r="14">
      <x:c r="A14" s="15" t="str">
        <x:v>Big Walk</x:v>
      </x:c>
      <x:c r="B14" s="15" t="str">
        <x:v>big walk how many players</x:v>
      </x:c>
      <x:c r="C14" s="15" t="str">
        <x:v>机制/入门</x:v>
      </x:c>
      <x:c r="D14" s="15" t="str">
        <x:v>P3</x:v>
      </x:c>
      <x:c r="E14" s="15" t="str">
        <x:v>低（约29）</x:v>
      </x:c>
      <x:c r="F14" s="15" t="str">
        <x:v>机制说明页</x:v>
      </x:c>
      <x:c r="G14" s="15" t="str">
        <x:v>https://www.google.com/search?q=big%20walk%20how%20many%20players</x:v>
      </x:c>
    </x:row>
    <x:row r="15">
      <x:c r="A15" s="15" t="str">
        <x:v>Big Walk</x:v>
      </x:c>
      <x:c r="B15" s="15" t="str">
        <x:v>big walk crossplay</x:v>
      </x:c>
      <x:c r="C15" s="15" t="str">
        <x:v>机制/入门</x:v>
      </x:c>
      <x:c r="D15" s="15" t="str">
        <x:v>P3</x:v>
      </x:c>
      <x:c r="E15" s="15" t="str">
        <x:v>低（约29）</x:v>
      </x:c>
      <x:c r="F15" s="15" t="str">
        <x:v>机制说明页</x:v>
      </x:c>
      <x:c r="G15" s="15" t="str">
        <x:v>https://www.google.com/search?q=big%20walk%20crossplay</x:v>
      </x:c>
    </x:row>
    <x:row r="16">
      <x:c r="A16" s="15" t="str">
        <x:v>Big Walk</x:v>
      </x:c>
      <x:c r="B16" s="15" t="str">
        <x:v>big walk voice chat not working</x:v>
      </x:c>
      <x:c r="C16" s="15" t="str">
        <x:v>故障/设置</x:v>
      </x:c>
      <x:c r="D16" s="15" t="str">
        <x:v>P2</x:v>
      </x:c>
      <x:c r="E16" s="15" t="str">
        <x:v>低（约24）</x:v>
      </x:c>
      <x:c r="F16" s="15" t="str">
        <x:v>FAQ/排错页</x:v>
      </x:c>
      <x:c r="G16" s="15" t="str">
        <x:v>https://www.google.com/search?q=big%20walk%20voice%20chat%20not%20working</x:v>
      </x:c>
    </x:row>
    <x:row r="17">
      <x:c r="A17" s="15" t="str">
        <x:v>Big Walk</x:v>
      </x:c>
      <x:c r="B17" s="15" t="str">
        <x:v>big walk how to revive</x:v>
      </x:c>
      <x:c r="C17" s="15" t="str">
        <x:v>机制/入门</x:v>
      </x:c>
      <x:c r="D17" s="15" t="str">
        <x:v>P3</x:v>
      </x:c>
      <x:c r="E17" s="15" t="str">
        <x:v>低（约29）</x:v>
      </x:c>
      <x:c r="F17" s="15" t="str">
        <x:v>机制说明页</x:v>
      </x:c>
      <x:c r="G17" s="15" t="str">
        <x:v>https://www.google.com/search?q=big%20walk%20how%20to%20revive</x:v>
      </x:c>
    </x:row>
    <x:row r="18">
      <x:c r="A18" s="15" t="str">
        <x:v>Big Walk</x:v>
      </x:c>
      <x:c r="B18" s="15" t="str">
        <x:v>big walk item locations</x:v>
      </x:c>
      <x:c r="C18" s="15" t="str">
        <x:v>流程/收集</x:v>
      </x:c>
      <x:c r="D18" s="15" t="str">
        <x:v>P2</x:v>
      </x:c>
      <x:c r="E18" s="15" t="str">
        <x:v>低（约24）</x:v>
      </x:c>
      <x:c r="F18" s="15" t="str">
        <x:v>分步骤攻略页</x:v>
      </x:c>
      <x:c r="G18" s="15" t="str">
        <x:v>https://www.google.com/search?q=big%20walk%20item%20locations</x:v>
      </x:c>
    </x:row>
    <x:row r="19">
      <x:c r="A19" s="15" t="str">
        <x:v>Big Walk</x:v>
      </x:c>
      <x:c r="B19" s="15" t="str">
        <x:v>big walk achievements guide</x:v>
      </x:c>
      <x:c r="C19" s="15" t="str">
        <x:v>流程/收集</x:v>
      </x:c>
      <x:c r="D19" s="15" t="str">
        <x:v>P1</x:v>
      </x:c>
      <x:c r="E19" s="15" t="str">
        <x:v>低（约29）</x:v>
      </x:c>
      <x:c r="F19" s="15" t="str">
        <x:v>分步骤攻略页</x:v>
      </x:c>
      <x:c r="G19" s="15" t="str">
        <x:v>https://www.google.com/search?q=big%20walk%20achievements%20guide</x:v>
      </x:c>
    </x:row>
    <x:row r="20">
      <x:c r="A20" s="15" t="str">
        <x:v>Big Walk</x:v>
      </x:c>
      <x:c r="B20" s="15" t="str">
        <x:v>big walk ending explained</x:v>
      </x:c>
      <x:c r="C20" s="15" t="str">
        <x:v>流程/收集</x:v>
      </x:c>
      <x:c r="D20" s="15" t="str">
        <x:v>P2</x:v>
      </x:c>
      <x:c r="E20" s="15" t="str">
        <x:v>低（约29）</x:v>
      </x:c>
      <x:c r="F20" s="15" t="str">
        <x:v>分步骤攻略页</x:v>
      </x:c>
      <x:c r="G20" s="15" t="str">
        <x:v>https://www.google.com/search?q=big%20walk%20ending%20explained</x:v>
      </x:c>
    </x:row>
    <x:row r="21">
      <x:c r="A21" s="15" t="str">
        <x:v>Big Walk</x:v>
      </x:c>
      <x:c r="B21" s="15" t="str">
        <x:v>big walk co op player limit</x:v>
      </x:c>
      <x:c r="C21" s="15" t="str">
        <x:v>机制/入门</x:v>
      </x:c>
      <x:c r="D21" s="15" t="str">
        <x:v>P3</x:v>
      </x:c>
      <x:c r="E21" s="15" t="str">
        <x:v>低（约29）</x:v>
      </x:c>
      <x:c r="F21" s="15" t="str">
        <x:v>机制说明页</x:v>
      </x:c>
      <x:c r="G21" s="15" t="str">
        <x:v>https://www.google.com/search?q=big%20walk%20co%20op%20player%20limit</x:v>
      </x:c>
    </x:row>
    <x:row r="22">
      <x:c r="A22" s="15" t="str">
        <x:v>Big Walk</x:v>
      </x:c>
      <x:c r="B22" s="15" t="str">
        <x:v>big walk server issues</x:v>
      </x:c>
      <x:c r="C22" s="15" t="str">
        <x:v>故障/设置</x:v>
      </x:c>
      <x:c r="D22" s="15" t="str">
        <x:v>P3</x:v>
      </x:c>
      <x:c r="E22" s="15" t="str">
        <x:v>低（约29）</x:v>
      </x:c>
      <x:c r="F22" s="15" t="str">
        <x:v>FAQ/排错页</x:v>
      </x:c>
      <x:c r="G22" s="15" t="str">
        <x:v>https://www.google.com/search?q=big%20walk%20server%20issues</x:v>
      </x:c>
    </x:row>
    <x:row r="23">
      <x:c r="A23" s="15" t="str">
        <x:v>Big Walk</x:v>
      </x:c>
      <x:c r="B23" s="15" t="str">
        <x:v>big walk map coordinates</x:v>
      </x:c>
      <x:c r="C23" s="15" t="str">
        <x:v>流程/收集</x:v>
      </x:c>
      <x:c r="D23" s="15" t="str">
        <x:v>P2</x:v>
      </x:c>
      <x:c r="E23" s="15" t="str">
        <x:v>低（约29）</x:v>
      </x:c>
      <x:c r="F23" s="15" t="str">
        <x:v>分步骤攻略页</x:v>
      </x:c>
      <x:c r="G23" s="15" t="str">
        <x:v>https://www.google.com/search?q=big%20walk%20map%20coordinates</x:v>
      </x:c>
    </x:row>
    <x:row r="24">
      <x:c r="A24" s="15" t="str">
        <x:v>Big Walk</x:v>
      </x:c>
      <x:c r="B24" s="15" t="str">
        <x:v>big walk tutorial puzzles</x:v>
      </x:c>
      <x:c r="C24" s="15" t="str">
        <x:v>流程/收集</x:v>
      </x:c>
      <x:c r="D24" s="15" t="str">
        <x:v>P1</x:v>
      </x:c>
      <x:c r="E24" s="15" t="str">
        <x:v>低（约29）</x:v>
      </x:c>
      <x:c r="F24" s="15" t="str">
        <x:v>分步骤攻略页</x:v>
      </x:c>
      <x:c r="G24" s="15" t="str">
        <x:v>https://www.google.com/search?q=big%20walk%20tutorial%20puzzles</x:v>
      </x:c>
    </x:row>
    <x:row r="25">
      <x:c r="A25" s="15" t="str">
        <x:v>Mistfall Hunter</x:v>
      </x:c>
      <x:c r="B25" s="15" t="str">
        <x:v>mistfall hunter best class</x:v>
      </x:c>
      <x:c r="C25" s="15" t="str">
        <x:v>选择/优化</x:v>
      </x:c>
      <x:c r="D25" s="15" t="str">
        <x:v>P1</x:v>
      </x:c>
      <x:c r="E25" s="15" t="str">
        <x:v>高（约53）</x:v>
      </x:c>
      <x:c r="F25" s="15" t="str">
        <x:v>对比/构筑页</x:v>
      </x:c>
      <x:c r="G25" s="15" t="str">
        <x:v>https://www.google.com/search?q=mistfall%20hunter%20best%20class</x:v>
      </x:c>
    </x:row>
    <x:row r="26">
      <x:c r="A26" s="15" t="str">
        <x:v>Mistfall Hunter</x:v>
      </x:c>
      <x:c r="B26" s="15" t="str">
        <x:v>mistfall hunter tier list</x:v>
      </x:c>
      <x:c r="C26" s="15" t="str">
        <x:v>选择/优化</x:v>
      </x:c>
      <x:c r="D26" s="15" t="str">
        <x:v>P1</x:v>
      </x:c>
      <x:c r="E26" s="15" t="str">
        <x:v>高（约53）</x:v>
      </x:c>
      <x:c r="F26" s="15" t="str">
        <x:v>对比/构筑页</x:v>
      </x:c>
      <x:c r="G26" s="15" t="str">
        <x:v>https://www.google.com/search?q=mistfall%20hunter%20tier%20list</x:v>
      </x:c>
    </x:row>
    <x:row r="27">
      <x:c r="A27" s="15" t="str">
        <x:v>Mistfall Hunter</x:v>
      </x:c>
      <x:c r="B27" s="15" t="str">
        <x:v>mistfall hunter mercenary build</x:v>
      </x:c>
      <x:c r="C27" s="15" t="str">
        <x:v>选择/优化</x:v>
      </x:c>
      <x:c r="D27" s="15" t="str">
        <x:v>P1</x:v>
      </x:c>
      <x:c r="E27" s="15" t="str">
        <x:v>高（约53）</x:v>
      </x:c>
      <x:c r="F27" s="15" t="str">
        <x:v>对比/构筑页</x:v>
      </x:c>
      <x:c r="G27" s="15" t="str">
        <x:v>https://www.google.com/search?q=mistfall%20hunter%20mercenary%20build</x:v>
      </x:c>
    </x:row>
    <x:row r="28">
      <x:c r="A28" s="15" t="str">
        <x:v>Mistfall Hunter</x:v>
      </x:c>
      <x:c r="B28" s="15" t="str">
        <x:v>mistfall hunter sorcerer build</x:v>
      </x:c>
      <x:c r="C28" s="15" t="str">
        <x:v>选择/优化</x:v>
      </x:c>
      <x:c r="D28" s="15" t="str">
        <x:v>P1</x:v>
      </x:c>
      <x:c r="E28" s="15" t="str">
        <x:v>高（约53）</x:v>
      </x:c>
      <x:c r="F28" s="15" t="str">
        <x:v>对比/构筑页</x:v>
      </x:c>
      <x:c r="G28" s="15" t="str">
        <x:v>https://www.google.com/search?q=mistfall%20hunter%20sorcerer%20build</x:v>
      </x:c>
    </x:row>
    <x:row r="29">
      <x:c r="A29" s="15" t="str">
        <x:v>Mistfall Hunter</x:v>
      </x:c>
      <x:c r="B29" s="15" t="str">
        <x:v>mistfall hunter blackarrow build</x:v>
      </x:c>
      <x:c r="C29" s="15" t="str">
        <x:v>选择/优化</x:v>
      </x:c>
      <x:c r="D29" s="15" t="str">
        <x:v>P1</x:v>
      </x:c>
      <x:c r="E29" s="15" t="str">
        <x:v>高（约53）</x:v>
      </x:c>
      <x:c r="F29" s="15" t="str">
        <x:v>对比/构筑页</x:v>
      </x:c>
      <x:c r="G29" s="15" t="str">
        <x:v>https://www.google.com/search?q=mistfall%20hunter%20blackarrow%20build</x:v>
      </x:c>
    </x:row>
    <x:row r="30">
      <x:c r="A30" s="15" t="str">
        <x:v>Mistfall Hunter</x:v>
      </x:c>
      <x:c r="B30" s="15" t="str">
        <x:v>mistfall hunter shadowstrix build</x:v>
      </x:c>
      <x:c r="C30" s="15" t="str">
        <x:v>选择/优化</x:v>
      </x:c>
      <x:c r="D30" s="15" t="str">
        <x:v>P1</x:v>
      </x:c>
      <x:c r="E30" s="15" t="str">
        <x:v>高（约53）</x:v>
      </x:c>
      <x:c r="F30" s="15" t="str">
        <x:v>对比/构筑页</x:v>
      </x:c>
      <x:c r="G30" s="15" t="str">
        <x:v>https://www.google.com/search?q=mistfall%20hunter%20shadowstrix%20build</x:v>
      </x:c>
    </x:row>
    <x:row r="31">
      <x:c r="A31" s="15" t="str">
        <x:v>Mistfall Hunter</x:v>
      </x:c>
      <x:c r="B31" s="15" t="str">
        <x:v>mistfall hunter seer build</x:v>
      </x:c>
      <x:c r="C31" s="15" t="str">
        <x:v>选择/优化</x:v>
      </x:c>
      <x:c r="D31" s="15" t="str">
        <x:v>P1</x:v>
      </x:c>
      <x:c r="E31" s="15" t="str">
        <x:v>高（约53）</x:v>
      </x:c>
      <x:c r="F31" s="15" t="str">
        <x:v>对比/构筑页</x:v>
      </x:c>
      <x:c r="G31" s="15" t="str">
        <x:v>https://www.google.com/search?q=mistfall%20hunter%20seer%20build</x:v>
      </x:c>
    </x:row>
    <x:row r="32">
      <x:c r="A32" s="15" t="str">
        <x:v>Mistfall Hunter</x:v>
      </x:c>
      <x:c r="B32" s="15" t="str">
        <x:v>mistfall hunter withered knight build</x:v>
      </x:c>
      <x:c r="C32" s="15" t="str">
        <x:v>选择/优化</x:v>
      </x:c>
      <x:c r="D32" s="15" t="str">
        <x:v>P1</x:v>
      </x:c>
      <x:c r="E32" s="15" t="str">
        <x:v>高（约53）</x:v>
      </x:c>
      <x:c r="F32" s="15" t="str">
        <x:v>对比/构筑页</x:v>
      </x:c>
      <x:c r="G32" s="15" t="str">
        <x:v>https://www.google.com/search?q=mistfall%20hunter%20withered%20knight%20build</x:v>
      </x:c>
    </x:row>
    <x:row r="33">
      <x:c r="A33" s="15" t="str">
        <x:v>Mistfall Hunter</x:v>
      </x:c>
      <x:c r="B33" s="15" t="str">
        <x:v>mistfall hunter 100 block build</x:v>
      </x:c>
      <x:c r="C33" s="15" t="str">
        <x:v>选择/优化</x:v>
      </x:c>
      <x:c r="D33" s="15" t="str">
        <x:v>P1</x:v>
      </x:c>
      <x:c r="E33" s="15" t="str">
        <x:v>高（约53）</x:v>
      </x:c>
      <x:c r="F33" s="15" t="str">
        <x:v>对比/构筑页</x:v>
      </x:c>
      <x:c r="G33" s="15" t="str">
        <x:v>https://www.google.com/search?q=mistfall%20hunter%20100%20block%20build</x:v>
      </x:c>
    </x:row>
    <x:row r="34">
      <x:c r="A34" s="15" t="str">
        <x:v>Mistfall Hunter</x:v>
      </x:c>
      <x:c r="B34" s="15" t="str">
        <x:v>mistfall hunter best affixes</x:v>
      </x:c>
      <x:c r="C34" s="15" t="str">
        <x:v>选择/优化</x:v>
      </x:c>
      <x:c r="D34" s="15" t="str">
        <x:v>P1</x:v>
      </x:c>
      <x:c r="E34" s="15" t="str">
        <x:v>高（约53）</x:v>
      </x:c>
      <x:c r="F34" s="15" t="str">
        <x:v>对比/构筑页</x:v>
      </x:c>
      <x:c r="G34" s="15" t="str">
        <x:v>https://www.google.com/search?q=mistfall%20hunter%20best%20affixes</x:v>
      </x:c>
    </x:row>
    <x:row r="35">
      <x:c r="A35" s="15" t="str">
        <x:v>Mistfall Hunter</x:v>
      </x:c>
      <x:c r="B35" s="15" t="str">
        <x:v>mistfall hunter gem affixes</x:v>
      </x:c>
      <x:c r="C35" s="15" t="str">
        <x:v>机制/入门</x:v>
      </x:c>
      <x:c r="D35" s="15" t="str">
        <x:v>P1</x:v>
      </x:c>
      <x:c r="E35" s="15" t="str">
        <x:v>高（约53）</x:v>
      </x:c>
      <x:c r="F35" s="15" t="str">
        <x:v>机制说明页</x:v>
      </x:c>
      <x:c r="G35" s="15" t="str">
        <x:v>https://www.google.com/search?q=mistfall%20hunter%20gem%20affixes</x:v>
      </x:c>
    </x:row>
    <x:row r="36">
      <x:c r="A36" s="15" t="str">
        <x:v>Mistfall Hunter</x:v>
      </x:c>
      <x:c r="B36" s="15" t="str">
        <x:v>mistfall hunter weapon tier list</x:v>
      </x:c>
      <x:c r="C36" s="15" t="str">
        <x:v>选择/优化</x:v>
      </x:c>
      <x:c r="D36" s="15" t="str">
        <x:v>P1</x:v>
      </x:c>
      <x:c r="E36" s="15" t="str">
        <x:v>高（约53）</x:v>
      </x:c>
      <x:c r="F36" s="15" t="str">
        <x:v>对比/构筑页</x:v>
      </x:c>
      <x:c r="G36" s="15" t="str">
        <x:v>https://www.google.com/search?q=mistfall%20hunter%20weapon%20tier%20list</x:v>
      </x:c>
    </x:row>
    <x:row r="37">
      <x:c r="A37" s="15" t="str">
        <x:v>Mistfall Hunter</x:v>
      </x:c>
      <x:c r="B37" s="15" t="str">
        <x:v>mistfall hunter beginner guide</x:v>
      </x:c>
      <x:c r="C37" s="15" t="str">
        <x:v>机制/入门</x:v>
      </x:c>
      <x:c r="D37" s="15" t="str">
        <x:v>P1</x:v>
      </x:c>
      <x:c r="E37" s="15" t="str">
        <x:v>高（约53）</x:v>
      </x:c>
      <x:c r="F37" s="15" t="str">
        <x:v>机制说明页</x:v>
      </x:c>
      <x:c r="G37" s="15" t="str">
        <x:v>https://www.google.com/search?q=mistfall%20hunter%20beginner%20guide</x:v>
      </x:c>
    </x:row>
    <x:row r="38">
      <x:c r="A38" s="15" t="str">
        <x:v>Mistfall Hunter</x:v>
      </x:c>
      <x:c r="B38" s="15" t="str">
        <x:v>mistfall hunter solo guide</x:v>
      </x:c>
      <x:c r="C38" s="15" t="str">
        <x:v>机制/入门</x:v>
      </x:c>
      <x:c r="D38" s="15" t="str">
        <x:v>P1</x:v>
      </x:c>
      <x:c r="E38" s="15" t="str">
        <x:v>高（约53）</x:v>
      </x:c>
      <x:c r="F38" s="15" t="str">
        <x:v>机制说明页</x:v>
      </x:c>
      <x:c r="G38" s="15" t="str">
        <x:v>https://www.google.com/search?q=mistfall%20hunter%20solo%20guide</x:v>
      </x:c>
    </x:row>
    <x:row r="39">
      <x:c r="A39" s="15" t="str">
        <x:v>Mistfall Hunter</x:v>
      </x:c>
      <x:c r="B39" s="15" t="str">
        <x:v>mistfall hunter duo guide</x:v>
      </x:c>
      <x:c r="C39" s="15" t="str">
        <x:v>机制/入门</x:v>
      </x:c>
      <x:c r="D39" s="15" t="str">
        <x:v>P1</x:v>
      </x:c>
      <x:c r="E39" s="15" t="str">
        <x:v>高（约53）</x:v>
      </x:c>
      <x:c r="F39" s="15" t="str">
        <x:v>机制说明页</x:v>
      </x:c>
      <x:c r="G39" s="15" t="str">
        <x:v>https://www.google.com/search?q=mistfall%20hunter%20duo%20guide</x:v>
      </x:c>
    </x:row>
    <x:row r="40">
      <x:c r="A40" s="15" t="str">
        <x:v>Mistfall Hunter</x:v>
      </x:c>
      <x:c r="B40" s="15" t="str">
        <x:v>mistfall hunter trio guide</x:v>
      </x:c>
      <x:c r="C40" s="15" t="str">
        <x:v>机制/入门</x:v>
      </x:c>
      <x:c r="D40" s="15" t="str">
        <x:v>P1</x:v>
      </x:c>
      <x:c r="E40" s="15" t="str">
        <x:v>高（约53）</x:v>
      </x:c>
      <x:c r="F40" s="15" t="str">
        <x:v>机制说明页</x:v>
      </x:c>
      <x:c r="G40" s="15" t="str">
        <x:v>https://www.google.com/search?q=mistfall%20hunter%20trio%20guide</x:v>
      </x:c>
    </x:row>
    <x:row r="41">
      <x:c r="A41" s="15" t="str">
        <x:v>Mistfall Hunter</x:v>
      </x:c>
      <x:c r="B41" s="15" t="str">
        <x:v>mistfall hunter extraction guide</x:v>
      </x:c>
      <x:c r="C41" s="15" t="str">
        <x:v>机制/入门</x:v>
      </x:c>
      <x:c r="D41" s="15" t="str">
        <x:v>P1</x:v>
      </x:c>
      <x:c r="E41" s="15" t="str">
        <x:v>高（约53）</x:v>
      </x:c>
      <x:c r="F41" s="15" t="str">
        <x:v>机制说明页</x:v>
      </x:c>
      <x:c r="G41" s="15" t="str">
        <x:v>https://www.google.com/search?q=mistfall%20hunter%20extraction%20guide</x:v>
      </x:c>
    </x:row>
    <x:row r="42">
      <x:c r="A42" s="15" t="str">
        <x:v>Mistfall Hunter</x:v>
      </x:c>
      <x:c r="B42" s="15" t="str">
        <x:v>mistfall hunter hallowgrove map</x:v>
      </x:c>
      <x:c r="C42" s="15" t="str">
        <x:v>流程/收集</x:v>
      </x:c>
      <x:c r="D42" s="15" t="str">
        <x:v>P1</x:v>
      </x:c>
      <x:c r="E42" s="15" t="str">
        <x:v>高（约53）</x:v>
      </x:c>
      <x:c r="F42" s="15" t="str">
        <x:v>分步骤攻略页</x:v>
      </x:c>
      <x:c r="G42" s="15" t="str">
        <x:v>https://www.google.com/search?q=mistfall%20hunter%20hallowgrove%20map</x:v>
      </x:c>
    </x:row>
    <x:row r="43">
      <x:c r="A43" s="15" t="str">
        <x:v>Mistfall Hunter</x:v>
      </x:c>
      <x:c r="B43" s="15" t="str">
        <x:v>mistfall hunter boss guide</x:v>
      </x:c>
      <x:c r="C43" s="15" t="str">
        <x:v>机制/入门</x:v>
      </x:c>
      <x:c r="D43" s="15" t="str">
        <x:v>P1</x:v>
      </x:c>
      <x:c r="E43" s="15" t="str">
        <x:v>高（约53）</x:v>
      </x:c>
      <x:c r="F43" s="15" t="str">
        <x:v>机制说明页</x:v>
      </x:c>
      <x:c r="G43" s="15" t="str">
        <x:v>https://www.google.com/search?q=mistfall%20hunter%20boss%20guide</x:v>
      </x:c>
    </x:row>
    <x:row r="44">
      <x:c r="A44" s="15" t="str">
        <x:v>Mistfall Hunter</x:v>
      </x:c>
      <x:c r="B44" s="15" t="str">
        <x:v>mistfall hunter returner woodling</x:v>
      </x:c>
      <x:c r="C44" s="15" t="str">
        <x:v>机制/入门</x:v>
      </x:c>
      <x:c r="D44" s="15" t="str">
        <x:v>P1</x:v>
      </x:c>
      <x:c r="E44" s="15" t="str">
        <x:v>高（约53）</x:v>
      </x:c>
      <x:c r="F44" s="15" t="str">
        <x:v>机制说明页</x:v>
      </x:c>
      <x:c r="G44" s="15" t="str">
        <x:v>https://www.google.com/search?q=mistfall%20hunter%20returner%20woodling</x:v>
      </x:c>
    </x:row>
    <x:row r="45">
      <x:c r="A45" s="15" t="str">
        <x:v>Mistfall Hunter</x:v>
      </x:c>
      <x:c r="B45" s="15" t="str">
        <x:v>mistfall hunter camp upgrades</x:v>
      </x:c>
      <x:c r="C45" s="15" t="str">
        <x:v>选择/优化</x:v>
      </x:c>
      <x:c r="D45" s="15" t="str">
        <x:v>P1</x:v>
      </x:c>
      <x:c r="E45" s="15" t="str">
        <x:v>高（约53）</x:v>
      </x:c>
      <x:c r="F45" s="15" t="str">
        <x:v>对比/构筑页</x:v>
      </x:c>
      <x:c r="G45" s="15" t="str">
        <x:v>https://www.google.com/search?q=mistfall%20hunter%20camp%20upgrades</x:v>
      </x:c>
    </x:row>
    <x:row r="46">
      <x:c r="A46" s="15" t="str">
        <x:v>Mistfall Hunter</x:v>
      </x:c>
      <x:c r="B46" s="15" t="str">
        <x:v>mistfall hunter gyldenblod farm</x:v>
      </x:c>
      <x:c r="C46" s="15" t="str">
        <x:v>机制/入门</x:v>
      </x:c>
      <x:c r="D46" s="15" t="str">
        <x:v>P1</x:v>
      </x:c>
      <x:c r="E46" s="15" t="str">
        <x:v>高（约53）</x:v>
      </x:c>
      <x:c r="F46" s="15" t="str">
        <x:v>机制说明页</x:v>
      </x:c>
      <x:c r="G46" s="15" t="str">
        <x:v>https://www.google.com/search?q=mistfall%20hunter%20gyldenblod%20farm</x:v>
      </x:c>
    </x:row>
    <x:row r="47">
      <x:c r="A47" s="15" t="str">
        <x:v>Mistfall Hunter</x:v>
      </x:c>
      <x:c r="B47" s="15" t="str">
        <x:v>mistfall hunter best settings</x:v>
      </x:c>
      <x:c r="C47" s="15" t="str">
        <x:v>故障/设置</x:v>
      </x:c>
      <x:c r="D47" s="15" t="str">
        <x:v>P1</x:v>
      </x:c>
      <x:c r="E47" s="15" t="str">
        <x:v>高（约53）</x:v>
      </x:c>
      <x:c r="F47" s="15" t="str">
        <x:v>FAQ/排错页</x:v>
      </x:c>
      <x:c r="G47" s="15" t="str">
        <x:v>https://www.google.com/search?q=mistfall%20hunter%20best%20settings</x:v>
      </x:c>
    </x:row>
    <x:row r="48">
      <x:c r="A48" s="15" t="str">
        <x:v>Mistfall Hunter</x:v>
      </x:c>
      <x:c r="B48" s="15" t="str">
        <x:v>mistfall hunter connection error</x:v>
      </x:c>
      <x:c r="C48" s="15" t="str">
        <x:v>故障/设置</x:v>
      </x:c>
      <x:c r="D48" s="15" t="str">
        <x:v>P1</x:v>
      </x:c>
      <x:c r="E48" s="15" t="str">
        <x:v>高（约53）</x:v>
      </x:c>
      <x:c r="F48" s="15" t="str">
        <x:v>FAQ/排错页</x:v>
      </x:c>
      <x:c r="G48" s="15" t="str">
        <x:v>https://www.google.com/search?q=mistfall%20hunter%20connection%20error</x:v>
      </x:c>
    </x:row>
    <x:row r="49">
      <x:c r="A49" s="15" t="str">
        <x:v>Shift At Midnight</x:v>
      </x:c>
      <x:c r="B49" s="15" t="str">
        <x:v>shift at midnight monster list</x:v>
      </x:c>
      <x:c r="C49" s="15" t="str">
        <x:v>机制/入门</x:v>
      </x:c>
      <x:c r="D49" s="15" t="str">
        <x:v>P3</x:v>
      </x:c>
      <x:c r="E49" s="15" t="str">
        <x:v>低（约20）</x:v>
      </x:c>
      <x:c r="F49" s="15" t="str">
        <x:v>机制说明页</x:v>
      </x:c>
      <x:c r="G49" s="15" t="str">
        <x:v>https://www.google.com/search?q=shift%20at%20midnight%20monster%20list</x:v>
      </x:c>
    </x:row>
    <x:row r="50">
      <x:c r="A50" s="15" t="str">
        <x:v>Shift At Midnight</x:v>
      </x:c>
      <x:c r="B50" s="15" t="str">
        <x:v>shift at midnight anomaly guide</x:v>
      </x:c>
      <x:c r="C50" s="15" t="str">
        <x:v>机制/入门</x:v>
      </x:c>
      <x:c r="D50" s="15" t="str">
        <x:v>P1</x:v>
      </x:c>
      <x:c r="E50" s="15" t="str">
        <x:v>低（约20）</x:v>
      </x:c>
      <x:c r="F50" s="15" t="str">
        <x:v>机制说明页</x:v>
      </x:c>
      <x:c r="G50" s="15" t="str">
        <x:v>https://www.google.com/search?q=shift%20at%20midnight%20anomaly%20guide</x:v>
      </x:c>
    </x:row>
    <x:row r="51">
      <x:c r="A51" s="15" t="str">
        <x:v>Shift At Midnight</x:v>
      </x:c>
      <x:c r="B51" s="15" t="str">
        <x:v>shift at midnight customer questions</x:v>
      </x:c>
      <x:c r="C51" s="15" t="str">
        <x:v>机制/入门</x:v>
      </x:c>
      <x:c r="D51" s="15" t="str">
        <x:v>P3</x:v>
      </x:c>
      <x:c r="E51" s="15" t="str">
        <x:v>低（约15）</x:v>
      </x:c>
      <x:c r="F51" s="15" t="str">
        <x:v>机制说明页</x:v>
      </x:c>
      <x:c r="G51" s="15" t="str">
        <x:v>https://www.google.com/search?q=shift%20at%20midnight%20customer%20questions</x:v>
      </x:c>
    </x:row>
    <x:row r="52">
      <x:c r="A52" s="15" t="str">
        <x:v>Shift At Midnight</x:v>
      </x:c>
      <x:c r="B52" s="15" t="str">
        <x:v>shift at midnight how to identify human</x:v>
      </x:c>
      <x:c r="C52" s="15" t="str">
        <x:v>机制/入门</x:v>
      </x:c>
      <x:c r="D52" s="15" t="str">
        <x:v>P3</x:v>
      </x:c>
      <x:c r="E52" s="15" t="str">
        <x:v>低（约20）</x:v>
      </x:c>
      <x:c r="F52" s="15" t="str">
        <x:v>机制说明页</x:v>
      </x:c>
      <x:c r="G52" s="15" t="str">
        <x:v>https://www.google.com/search?q=shift%20at%20midnight%20how%20to%20identify%20human</x:v>
      </x:c>
    </x:row>
    <x:row r="53">
      <x:c r="A53" s="15" t="str">
        <x:v>Shift At Midnight</x:v>
      </x:c>
      <x:c r="B53" s="15" t="str">
        <x:v>shift at midnight beginner guide</x:v>
      </x:c>
      <x:c r="C53" s="15" t="str">
        <x:v>机制/入门</x:v>
      </x:c>
      <x:c r="D53" s="15" t="str">
        <x:v>P1</x:v>
      </x:c>
      <x:c r="E53" s="15" t="str">
        <x:v>低（约24）</x:v>
      </x:c>
      <x:c r="F53" s="15" t="str">
        <x:v>机制说明页</x:v>
      </x:c>
      <x:c r="G53" s="15" t="str">
        <x:v>https://www.google.com/search?q=shift%20at%20midnight%20beginner%20guide</x:v>
      </x:c>
    </x:row>
    <x:row r="54">
      <x:c r="A54" s="15" t="str">
        <x:v>Shift At Midnight</x:v>
      </x:c>
      <x:c r="B54" s="15" t="str">
        <x:v>shift at midnight solo guide</x:v>
      </x:c>
      <x:c r="C54" s="15" t="str">
        <x:v>机制/入门</x:v>
      </x:c>
      <x:c r="D54" s="15" t="str">
        <x:v>P1</x:v>
      </x:c>
      <x:c r="E54" s="15" t="str">
        <x:v>低（约20）</x:v>
      </x:c>
      <x:c r="F54" s="15" t="str">
        <x:v>机制说明页</x:v>
      </x:c>
      <x:c r="G54" s="15" t="str">
        <x:v>https://www.google.com/search?q=shift%20at%20midnight%20solo%20guide</x:v>
      </x:c>
    </x:row>
    <x:row r="55">
      <x:c r="A55" s="15" t="str">
        <x:v>Shift At Midnight</x:v>
      </x:c>
      <x:c r="B55" s="15" t="str">
        <x:v>shift at midnight 3 player guide</x:v>
      </x:c>
      <x:c r="C55" s="15" t="str">
        <x:v>机制/入门</x:v>
      </x:c>
      <x:c r="D55" s="15" t="str">
        <x:v>P1</x:v>
      </x:c>
      <x:c r="E55" s="15" t="str">
        <x:v>低（约20）</x:v>
      </x:c>
      <x:c r="F55" s="15" t="str">
        <x:v>机制说明页</x:v>
      </x:c>
      <x:c r="G55" s="15" t="str">
        <x:v>https://www.google.com/search?q=shift%20at%20midnight%203%20player%20guide</x:v>
      </x:c>
    </x:row>
    <x:row r="56">
      <x:c r="A56" s="15" t="str">
        <x:v>Shift At Midnight</x:v>
      </x:c>
      <x:c r="B56" s="15" t="str">
        <x:v>shift at midnight weapons guide</x:v>
      </x:c>
      <x:c r="C56" s="15" t="str">
        <x:v>选择/优化</x:v>
      </x:c>
      <x:c r="D56" s="15" t="str">
        <x:v>P1</x:v>
      </x:c>
      <x:c r="E56" s="15" t="str">
        <x:v>低（约20）</x:v>
      </x:c>
      <x:c r="F56" s="15" t="str">
        <x:v>对比/构筑页</x:v>
      </x:c>
      <x:c r="G56" s="15" t="str">
        <x:v>https://www.google.com/search?q=shift%20at%20midnight%20weapons%20guide</x:v>
      </x:c>
    </x:row>
    <x:row r="57">
      <x:c r="A57" s="15" t="str">
        <x:v>Shift At Midnight</x:v>
      </x:c>
      <x:c r="B57" s="15" t="str">
        <x:v>shift at midnight traps guide</x:v>
      </x:c>
      <x:c r="C57" s="15" t="str">
        <x:v>机制/入门</x:v>
      </x:c>
      <x:c r="D57" s="15" t="str">
        <x:v>P1</x:v>
      </x:c>
      <x:c r="E57" s="15" t="str">
        <x:v>低（约20）</x:v>
      </x:c>
      <x:c r="F57" s="15" t="str">
        <x:v>机制说明页</x:v>
      </x:c>
      <x:c r="G57" s="15" t="str">
        <x:v>https://www.google.com/search?q=shift%20at%20midnight%20traps%20guide</x:v>
      </x:c>
    </x:row>
    <x:row r="58">
      <x:c r="A58" s="15" t="str">
        <x:v>Shift At Midnight</x:v>
      </x:c>
      <x:c r="B58" s="15" t="str">
        <x:v>shift at midnight gas station layout</x:v>
      </x:c>
      <x:c r="C58" s="15" t="str">
        <x:v>选择/优化</x:v>
      </x:c>
      <x:c r="D58" s="15" t="str">
        <x:v>P3</x:v>
      </x:c>
      <x:c r="E58" s="15" t="str">
        <x:v>低（约20）</x:v>
      </x:c>
      <x:c r="F58" s="15" t="str">
        <x:v>对比/构筑页</x:v>
      </x:c>
      <x:c r="G58" s="15" t="str">
        <x:v>https://www.google.com/search?q=shift%20at%20midnight%20gas%20station%20layout</x:v>
      </x:c>
    </x:row>
    <x:row r="59">
      <x:c r="A59" s="15" t="str">
        <x:v>Shift At Midnight</x:v>
      </x:c>
      <x:c r="B59" s="15" t="str">
        <x:v>shift at midnight night shift guide</x:v>
      </x:c>
      <x:c r="C59" s="15" t="str">
        <x:v>机制/入门</x:v>
      </x:c>
      <x:c r="D59" s="15" t="str">
        <x:v>P1</x:v>
      </x:c>
      <x:c r="E59" s="15" t="str">
        <x:v>低（约20）</x:v>
      </x:c>
      <x:c r="F59" s="15" t="str">
        <x:v>机制说明页</x:v>
      </x:c>
      <x:c r="G59" s="15" t="str">
        <x:v>https://www.google.com/search?q=shift%20at%20midnight%20night%20shift%20guide</x:v>
      </x:c>
    </x:row>
    <x:row r="60">
      <x:c r="A60" s="15" t="str">
        <x:v>Shift At Midnight</x:v>
      </x:c>
      <x:c r="B60" s="15" t="str">
        <x:v>shift at midnight endings</x:v>
      </x:c>
      <x:c r="C60" s="15" t="str">
        <x:v>流程/收集</x:v>
      </x:c>
      <x:c r="D60" s="15" t="str">
        <x:v>P2</x:v>
      </x:c>
      <x:c r="E60" s="15" t="str">
        <x:v>低（约20）</x:v>
      </x:c>
      <x:c r="F60" s="15" t="str">
        <x:v>分步骤攻略页</x:v>
      </x:c>
      <x:c r="G60" s="15" t="str">
        <x:v>https://www.google.com/search?q=shift%20at%20midnight%20endings</x:v>
      </x:c>
    </x:row>
    <x:row r="61">
      <x:c r="A61" s="15" t="str">
        <x:v>Shift At Midnight</x:v>
      </x:c>
      <x:c r="B61" s="15" t="str">
        <x:v>shift at midnight all entities</x:v>
      </x:c>
      <x:c r="C61" s="15" t="str">
        <x:v>机制/入门</x:v>
      </x:c>
      <x:c r="D61" s="15" t="str">
        <x:v>P1</x:v>
      </x:c>
      <x:c r="E61" s="15" t="str">
        <x:v>低（约24）</x:v>
      </x:c>
      <x:c r="F61" s="15" t="str">
        <x:v>机制说明页</x:v>
      </x:c>
      <x:c r="G61" s="15" t="str">
        <x:v>https://www.google.com/search?q=shift%20at%20midnight%20all%20entities</x:v>
      </x:c>
    </x:row>
    <x:row r="62">
      <x:c r="A62" s="15" t="str">
        <x:v>Shift At Midnight</x:v>
      </x:c>
      <x:c r="B62" s="15" t="str">
        <x:v>shift at midnight voice chat not working</x:v>
      </x:c>
      <x:c r="C62" s="15" t="str">
        <x:v>故障/设置</x:v>
      </x:c>
      <x:c r="D62" s="15" t="str">
        <x:v>P2</x:v>
      </x:c>
      <x:c r="E62" s="15" t="str">
        <x:v>低（约15）</x:v>
      </x:c>
      <x:c r="F62" s="15" t="str">
        <x:v>FAQ/排错页</x:v>
      </x:c>
      <x:c r="G62" s="15" t="str">
        <x:v>https://www.google.com/search?q=shift%20at%20midnight%20voice%20chat%20not%20working</x:v>
      </x:c>
    </x:row>
    <x:row r="63">
      <x:c r="A63" s="15" t="str">
        <x:v>Shift At Midnight</x:v>
      </x:c>
      <x:c r="B63" s="15" t="str">
        <x:v>shift at midnight crossplay</x:v>
      </x:c>
      <x:c r="C63" s="15" t="str">
        <x:v>机制/入门</x:v>
      </x:c>
      <x:c r="D63" s="15" t="str">
        <x:v>P3</x:v>
      </x:c>
      <x:c r="E63" s="15" t="str">
        <x:v>低（约20）</x:v>
      </x:c>
      <x:c r="F63" s="15" t="str">
        <x:v>机制说明页</x:v>
      </x:c>
      <x:c r="G63" s="15" t="str">
        <x:v>https://www.google.com/search?q=shift%20at%20midnight%20crossplay</x:v>
      </x:c>
    </x:row>
    <x:row r="64">
      <x:c r="A64" s="15" t="str">
        <x:v>Shift At Midnight</x:v>
      </x:c>
      <x:c r="B64" s="15" t="str">
        <x:v>shift at midnight multiplayer not working</x:v>
      </x:c>
      <x:c r="C64" s="15" t="str">
        <x:v>故障/设置</x:v>
      </x:c>
      <x:c r="D64" s="15" t="str">
        <x:v>P2</x:v>
      </x:c>
      <x:c r="E64" s="15" t="str">
        <x:v>低（约15）</x:v>
      </x:c>
      <x:c r="F64" s="15" t="str">
        <x:v>FAQ/排错页</x:v>
      </x:c>
      <x:c r="G64" s="15" t="str">
        <x:v>https://www.google.com/search?q=shift%20at%20midnight%20multiplayer%20not%20working</x:v>
      </x:c>
    </x:row>
    <x:row r="65">
      <x:c r="A65" s="15" t="str">
        <x:v>Shift At Midnight</x:v>
      </x:c>
      <x:c r="B65" s="15" t="str">
        <x:v>shift at midnight achievements</x:v>
      </x:c>
      <x:c r="C65" s="15" t="str">
        <x:v>流程/收集</x:v>
      </x:c>
      <x:c r="D65" s="15" t="str">
        <x:v>P2</x:v>
      </x:c>
      <x:c r="E65" s="15" t="str">
        <x:v>低（约20）</x:v>
      </x:c>
      <x:c r="F65" s="15" t="str">
        <x:v>分步骤攻略页</x:v>
      </x:c>
      <x:c r="G65" s="15" t="str">
        <x:v>https://www.google.com/search?q=shift%20at%20midnight%20achievements</x:v>
      </x:c>
    </x:row>
    <x:row r="66">
      <x:c r="A66" s="15" t="str">
        <x:v>Shift At Midnight</x:v>
      </x:c>
      <x:c r="B66" s="15" t="str">
        <x:v>shift at midnight best strategy</x:v>
      </x:c>
      <x:c r="C66" s="15" t="str">
        <x:v>选择/优化</x:v>
      </x:c>
      <x:c r="D66" s="15" t="str">
        <x:v>P3</x:v>
      </x:c>
      <x:c r="E66" s="15" t="str">
        <x:v>低（约20）</x:v>
      </x:c>
      <x:c r="F66" s="15" t="str">
        <x:v>对比/构筑页</x:v>
      </x:c>
      <x:c r="G66" s="15" t="str">
        <x:v>https://www.google.com/search?q=shift%20at%20midnight%20best%20strategy</x:v>
      </x:c>
    </x:row>
    <x:row r="67">
      <x:c r="A67" s="15" t="str">
        <x:v>Hell Let Loose: Vietnam</x:v>
      </x:c>
      <x:c r="B67" s="15" t="str">
        <x:v>hell let loose vietnam beginner guide</x:v>
      </x:c>
      <x:c r="C67" s="15" t="str">
        <x:v>机制/入门</x:v>
      </x:c>
      <x:c r="D67" s="15" t="str">
        <x:v>P1</x:v>
      </x:c>
      <x:c r="E67" s="15" t="str">
        <x:v>高（约56）</x:v>
      </x:c>
      <x:c r="F67" s="15" t="str">
        <x:v>机制说明页</x:v>
      </x:c>
      <x:c r="G67" s="15" t="str">
        <x:v>https://www.google.com/search?q=hell%20let%20loose%20vietnam%20beginner%20guide</x:v>
      </x:c>
    </x:row>
    <x:row r="68">
      <x:c r="A68" s="15" t="str">
        <x:v>Hell Let Loose: Vietnam</x:v>
      </x:c>
      <x:c r="B68" s="15" t="str">
        <x:v>hell let loose vietnam roles guide</x:v>
      </x:c>
      <x:c r="C68" s="15" t="str">
        <x:v>机制/入门</x:v>
      </x:c>
      <x:c r="D68" s="15" t="str">
        <x:v>P1</x:v>
      </x:c>
      <x:c r="E68" s="15" t="str">
        <x:v>高（约52）</x:v>
      </x:c>
      <x:c r="F68" s="15" t="str">
        <x:v>机制说明页</x:v>
      </x:c>
      <x:c r="G68" s="15" t="str">
        <x:v>https://www.google.com/search?q=hell%20let%20loose%20vietnam%20roles%20guide</x:v>
      </x:c>
    </x:row>
    <x:row r="69">
      <x:c r="A69" s="15" t="str">
        <x:v>Hell Let Loose: Vietnam</x:v>
      </x:c>
      <x:c r="B69" s="15" t="str">
        <x:v>hell let loose vietnam best class</x:v>
      </x:c>
      <x:c r="C69" s="15" t="str">
        <x:v>选择/优化</x:v>
      </x:c>
      <x:c r="D69" s="15" t="str">
        <x:v>P1</x:v>
      </x:c>
      <x:c r="E69" s="15" t="str">
        <x:v>高（约56）</x:v>
      </x:c>
      <x:c r="F69" s="15" t="str">
        <x:v>对比/构筑页</x:v>
      </x:c>
      <x:c r="G69" s="15" t="str">
        <x:v>https://www.google.com/search?q=hell%20let%20loose%20vietnam%20best%20class</x:v>
      </x:c>
    </x:row>
    <x:row r="70">
      <x:c r="A70" s="15" t="str">
        <x:v>Hell Let Loose: Vietnam</x:v>
      </x:c>
      <x:c r="B70" s="15" t="str">
        <x:v>hell let loose vietnam commander guide</x:v>
      </x:c>
      <x:c r="C70" s="15" t="str">
        <x:v>机制/入门</x:v>
      </x:c>
      <x:c r="D70" s="15" t="str">
        <x:v>P1</x:v>
      </x:c>
      <x:c r="E70" s="15" t="str">
        <x:v>高（约52）</x:v>
      </x:c>
      <x:c r="F70" s="15" t="str">
        <x:v>机制说明页</x:v>
      </x:c>
      <x:c r="G70" s="15" t="str">
        <x:v>https://www.google.com/search?q=hell%20let%20loose%20vietnam%20commander%20guide</x:v>
      </x:c>
    </x:row>
    <x:row r="71">
      <x:c r="A71" s="15" t="str">
        <x:v>Hell Let Loose: Vietnam</x:v>
      </x:c>
      <x:c r="B71" s="15" t="str">
        <x:v>hell let loose vietnam squad leader guide</x:v>
      </x:c>
      <x:c r="C71" s="15" t="str">
        <x:v>机制/入门</x:v>
      </x:c>
      <x:c r="D71" s="15" t="str">
        <x:v>P1</x:v>
      </x:c>
      <x:c r="E71" s="15" t="str">
        <x:v>高（约52）</x:v>
      </x:c>
      <x:c r="F71" s="15" t="str">
        <x:v>机制说明页</x:v>
      </x:c>
      <x:c r="G71" s="15" t="str">
        <x:v>https://www.google.com/search?q=hell%20let%20loose%20vietnam%20squad%20leader%20guide</x:v>
      </x:c>
    </x:row>
    <x:row r="72">
      <x:c r="A72" s="15" t="str">
        <x:v>Hell Let Loose: Vietnam</x:v>
      </x:c>
      <x:c r="B72" s="15" t="str">
        <x:v>hell let loose vietnam maps</x:v>
      </x:c>
      <x:c r="C72" s="15" t="str">
        <x:v>流程/收集</x:v>
      </x:c>
      <x:c r="D72" s="15" t="str">
        <x:v>P2</x:v>
      </x:c>
      <x:c r="E72" s="15" t="str">
        <x:v>高（约52）</x:v>
      </x:c>
      <x:c r="F72" s="15" t="str">
        <x:v>分步骤攻略页</x:v>
      </x:c>
      <x:c r="G72" s="15" t="str">
        <x:v>https://www.google.com/search?q=hell%20let%20loose%20vietnam%20maps</x:v>
      </x:c>
    </x:row>
    <x:row r="73">
      <x:c r="A73" s="15" t="str">
        <x:v>Hell Let Loose: Vietnam</x:v>
      </x:c>
      <x:c r="B73" s="15" t="str">
        <x:v>hell let loose vietnam factions</x:v>
      </x:c>
      <x:c r="C73" s="15" t="str">
        <x:v>机制/入门</x:v>
      </x:c>
      <x:c r="D73" s="15" t="str">
        <x:v>P3</x:v>
      </x:c>
      <x:c r="E73" s="15" t="str">
        <x:v>高（约52）</x:v>
      </x:c>
      <x:c r="F73" s="15" t="str">
        <x:v>机制说明页</x:v>
      </x:c>
      <x:c r="G73" s="15" t="str">
        <x:v>https://www.google.com/search?q=hell%20let%20loose%20vietnam%20factions</x:v>
      </x:c>
    </x:row>
    <x:row r="74">
      <x:c r="A74" s="15" t="str">
        <x:v>Hell Let Loose: Vietnam</x:v>
      </x:c>
      <x:c r="B74" s="15" t="str">
        <x:v>hell let loose vietnam weapons</x:v>
      </x:c>
      <x:c r="C74" s="15" t="str">
        <x:v>选择/优化</x:v>
      </x:c>
      <x:c r="D74" s="15" t="str">
        <x:v>P3</x:v>
      </x:c>
      <x:c r="E74" s="15" t="str">
        <x:v>高（约52）</x:v>
      </x:c>
      <x:c r="F74" s="15" t="str">
        <x:v>对比/构筑页</x:v>
      </x:c>
      <x:c r="G74" s="15" t="str">
        <x:v>https://www.google.com/search?q=hell%20let%20loose%20vietnam%20weapons</x:v>
      </x:c>
    </x:row>
    <x:row r="75">
      <x:c r="A75" s="15" t="str">
        <x:v>Hell Let Loose: Vietnam</x:v>
      </x:c>
      <x:c r="B75" s="15" t="str">
        <x:v>hell let loose vietnam helicopter guide</x:v>
      </x:c>
      <x:c r="C75" s="15" t="str">
        <x:v>机制/入门</x:v>
      </x:c>
      <x:c r="D75" s="15" t="str">
        <x:v>P1</x:v>
      </x:c>
      <x:c r="E75" s="15" t="str">
        <x:v>高（约52）</x:v>
      </x:c>
      <x:c r="F75" s="15" t="str">
        <x:v>机制说明页</x:v>
      </x:c>
      <x:c r="G75" s="15" t="str">
        <x:v>https://www.google.com/search?q=hell%20let%20loose%20vietnam%20helicopter%20guide</x:v>
      </x:c>
    </x:row>
    <x:row r="76">
      <x:c r="A76" s="15" t="str">
        <x:v>Hell Let Loose: Vietnam</x:v>
      </x:c>
      <x:c r="B76" s="15" t="str">
        <x:v>hell let loose vietnam tunnels guide</x:v>
      </x:c>
      <x:c r="C76" s="15" t="str">
        <x:v>机制/入门</x:v>
      </x:c>
      <x:c r="D76" s="15" t="str">
        <x:v>P1</x:v>
      </x:c>
      <x:c r="E76" s="15" t="str">
        <x:v>高（约52）</x:v>
      </x:c>
      <x:c r="F76" s="15" t="str">
        <x:v>机制说明页</x:v>
      </x:c>
      <x:c r="G76" s="15" t="str">
        <x:v>https://www.google.com/search?q=hell%20let%20loose%20vietnam%20tunnels%20guide</x:v>
      </x:c>
    </x:row>
    <x:row r="77">
      <x:c r="A77" s="15" t="str">
        <x:v>Hell Let Loose: Vietnam</x:v>
      </x:c>
      <x:c r="B77" s="15" t="str">
        <x:v>hell let loose vietnam boats guide</x:v>
      </x:c>
      <x:c r="C77" s="15" t="str">
        <x:v>机制/入门</x:v>
      </x:c>
      <x:c r="D77" s="15" t="str">
        <x:v>P1</x:v>
      </x:c>
      <x:c r="E77" s="15" t="str">
        <x:v>高（约52）</x:v>
      </x:c>
      <x:c r="F77" s="15" t="str">
        <x:v>机制说明页</x:v>
      </x:c>
      <x:c r="G77" s="15" t="str">
        <x:v>https://www.google.com/search?q=hell%20let%20loose%20vietnam%20boats%20guide</x:v>
      </x:c>
    </x:row>
    <x:row r="78">
      <x:c r="A78" s="15" t="str">
        <x:v>Hell Let Loose: Vietnam</x:v>
      </x:c>
      <x:c r="B78" s="15" t="str">
        <x:v>hell let loose vietnam artillery guide</x:v>
      </x:c>
      <x:c r="C78" s="15" t="str">
        <x:v>机制/入门</x:v>
      </x:c>
      <x:c r="D78" s="15" t="str">
        <x:v>P1</x:v>
      </x:c>
      <x:c r="E78" s="15" t="str">
        <x:v>高（约52）</x:v>
      </x:c>
      <x:c r="F78" s="15" t="str">
        <x:v>机制说明页</x:v>
      </x:c>
      <x:c r="G78" s="15" t="str">
        <x:v>https://www.google.com/search?q=hell%20let%20loose%20vietnam%20artillery%20guide</x:v>
      </x:c>
    </x:row>
    <x:row r="79">
      <x:c r="A79" s="15" t="str">
        <x:v>Hell Let Loose: Vietnam</x:v>
      </x:c>
      <x:c r="B79" s="15" t="str">
        <x:v>hell let loose vietnam tank guide</x:v>
      </x:c>
      <x:c r="C79" s="15" t="str">
        <x:v>机制/入门</x:v>
      </x:c>
      <x:c r="D79" s="15" t="str">
        <x:v>P1</x:v>
      </x:c>
      <x:c r="E79" s="15" t="str">
        <x:v>高（约52）</x:v>
      </x:c>
      <x:c r="F79" s="15" t="str">
        <x:v>机制说明页</x:v>
      </x:c>
      <x:c r="G79" s="15" t="str">
        <x:v>https://www.google.com/search?q=hell%20let%20loose%20vietnam%20tank%20guide</x:v>
      </x:c>
    </x:row>
    <x:row r="80">
      <x:c r="A80" s="15" t="str">
        <x:v>Hell Let Loose: Vietnam</x:v>
      </x:c>
      <x:c r="B80" s="15" t="str">
        <x:v>hell let loose vietnam logistics guide</x:v>
      </x:c>
      <x:c r="C80" s="15" t="str">
        <x:v>机制/入门</x:v>
      </x:c>
      <x:c r="D80" s="15" t="str">
        <x:v>P1</x:v>
      </x:c>
      <x:c r="E80" s="15" t="str">
        <x:v>高（约52）</x:v>
      </x:c>
      <x:c r="F80" s="15" t="str">
        <x:v>机制说明页</x:v>
      </x:c>
      <x:c r="G80" s="15" t="str">
        <x:v>https://www.google.com/search?q=hell%20let%20loose%20vietnam%20logistics%20guide</x:v>
      </x:c>
    </x:row>
    <x:row r="81">
      <x:c r="A81" s="15" t="str">
        <x:v>Hell Let Loose: Vietnam</x:v>
      </x:c>
      <x:c r="B81" s="15" t="str">
        <x:v>hell let loose vietnam spawn guide</x:v>
      </x:c>
      <x:c r="C81" s="15" t="str">
        <x:v>机制/入门</x:v>
      </x:c>
      <x:c r="D81" s="15" t="str">
        <x:v>P1</x:v>
      </x:c>
      <x:c r="E81" s="15" t="str">
        <x:v>高（约52）</x:v>
      </x:c>
      <x:c r="F81" s="15" t="str">
        <x:v>机制说明页</x:v>
      </x:c>
      <x:c r="G81" s="15" t="str">
        <x:v>https://www.google.com/search?q=hell%20let%20loose%20vietnam%20spawn%20guide</x:v>
      </x:c>
    </x:row>
    <x:row r="82">
      <x:c r="A82" s="15" t="str">
        <x:v>Hell Let Loose: Vietnam</x:v>
      </x:c>
      <x:c r="B82" s="15" t="str">
        <x:v>hell let loose vietnam garrison guide</x:v>
      </x:c>
      <x:c r="C82" s="15" t="str">
        <x:v>机制/入门</x:v>
      </x:c>
      <x:c r="D82" s="15" t="str">
        <x:v>P1</x:v>
      </x:c>
      <x:c r="E82" s="15" t="str">
        <x:v>高（约52）</x:v>
      </x:c>
      <x:c r="F82" s="15" t="str">
        <x:v>机制说明页</x:v>
      </x:c>
      <x:c r="G82" s="15" t="str">
        <x:v>https://www.google.com/search?q=hell%20let%20loose%20vietnam%20garrison%20guide</x:v>
      </x:c>
    </x:row>
    <x:row r="83">
      <x:c r="A83" s="15" t="str">
        <x:v>Hell Let Loose: Vietnam</x:v>
      </x:c>
      <x:c r="B83" s="15" t="str">
        <x:v>hell let loose vietnam server browser</x:v>
      </x:c>
      <x:c r="C83" s="15" t="str">
        <x:v>故障/设置</x:v>
      </x:c>
      <x:c r="D83" s="15" t="str">
        <x:v>P3</x:v>
      </x:c>
      <x:c r="E83" s="15" t="str">
        <x:v>高（约52）</x:v>
      </x:c>
      <x:c r="F83" s="15" t="str">
        <x:v>FAQ/排错页</x:v>
      </x:c>
      <x:c r="G83" s="15" t="str">
        <x:v>https://www.google.com/search?q=hell%20let%20loose%20vietnam%20server%20browser</x:v>
      </x:c>
    </x:row>
    <x:row r="84">
      <x:c r="A84" s="15" t="str">
        <x:v>Hell Let Loose: Vietnam</x:v>
      </x:c>
      <x:c r="B84" s="15" t="str">
        <x:v>hell let loose vietnam best settings</x:v>
      </x:c>
      <x:c r="C84" s="15" t="str">
        <x:v>故障/设置</x:v>
      </x:c>
      <x:c r="D84" s="15" t="str">
        <x:v>P2</x:v>
      </x:c>
      <x:c r="E84" s="15" t="str">
        <x:v>高（约52）</x:v>
      </x:c>
      <x:c r="F84" s="15" t="str">
        <x:v>FAQ/排错页</x:v>
      </x:c>
      <x:c r="G84" s="15" t="str">
        <x:v>https://www.google.com/search?q=hell%20let%20loose%20vietnam%20best%20settings</x:v>
      </x:c>
    </x:row>
    <x:row r="85">
      <x:c r="A85" s="15" t="str">
        <x:v>Hell Let Loose: Vietnam</x:v>
      </x:c>
      <x:c r="B85" s="15" t="str">
        <x:v>hell let loose vietnam crossplay</x:v>
      </x:c>
      <x:c r="C85" s="15" t="str">
        <x:v>机制/入门</x:v>
      </x:c>
      <x:c r="D85" s="15" t="str">
        <x:v>P3</x:v>
      </x:c>
      <x:c r="E85" s="15" t="str">
        <x:v>高（约52）</x:v>
      </x:c>
      <x:c r="F85" s="15" t="str">
        <x:v>机制说明页</x:v>
      </x:c>
      <x:c r="G85" s="15" t="str">
        <x:v>https://www.google.com/search?q=hell%20let%20loose%20vietnam%20crossplay</x:v>
      </x:c>
    </x:row>
    <x:row r="86">
      <x:c r="A86" s="15" t="str">
        <x:v>Hell Let Loose: Vietnam</x:v>
      </x:c>
      <x:c r="B86" s="15" t="str">
        <x:v>hell let loose vietnam US vs NVA</x:v>
      </x:c>
      <x:c r="C86" s="15" t="str">
        <x:v>机制/入门</x:v>
      </x:c>
      <x:c r="D86" s="15" t="str">
        <x:v>P3</x:v>
      </x:c>
      <x:c r="E86" s="15" t="str">
        <x:v>高（约52）</x:v>
      </x:c>
      <x:c r="F86" s="15" t="str">
        <x:v>机制说明页</x:v>
      </x:c>
      <x:c r="G86" s="15" t="str">
        <x:v>https://www.google.com/search?q=hell%20let%20loose%20vietnam%20US%20vs%20NVA</x:v>
      </x:c>
    </x:row>
    <x:row r="87">
      <x:c r="A87" s="15" t="str">
        <x:v>Hell Let Loose: Vietnam</x:v>
      </x:c>
      <x:c r="B87" s="15" t="str">
        <x:v>hell let loose vietnam game modes</x:v>
      </x:c>
      <x:c r="C87" s="15" t="str">
        <x:v>机制/入门</x:v>
      </x:c>
      <x:c r="D87" s="15" t="str">
        <x:v>P3</x:v>
      </x:c>
      <x:c r="E87" s="15" t="str">
        <x:v>高（约52）</x:v>
      </x:c>
      <x:c r="F87" s="15" t="str">
        <x:v>机制说明页</x:v>
      </x:c>
      <x:c r="G87" s="15" t="str">
        <x:v>https://www.google.com/search?q=hell%20let%20loose%20vietnam%20game%20modes</x:v>
      </x:c>
    </x:row>
    <x:row r="88">
      <x:c r="A88" s="15" t="str">
        <x:v>Hell Let Loose: Vietnam</x:v>
      </x:c>
      <x:c r="B88" s="15" t="str">
        <x:v>hell let loose vietnam map rotation</x:v>
      </x:c>
      <x:c r="C88" s="15" t="str">
        <x:v>流程/收集</x:v>
      </x:c>
      <x:c r="D88" s="15" t="str">
        <x:v>P2</x:v>
      </x:c>
      <x:c r="E88" s="15" t="str">
        <x:v>高（约52）</x:v>
      </x:c>
      <x:c r="F88" s="15" t="str">
        <x:v>分步骤攻略页</x:v>
      </x:c>
      <x:c r="G88" s="15" t="str">
        <x:v>https://www.google.com/search?q=hell%20let%20loose%20vietnam%20map%20rotation</x:v>
      </x:c>
    </x:row>
    <x:row r="89">
      <x:c r="A89" s="15" t="str">
        <x:v>Servant of the Lake</x:v>
      </x:c>
      <x:c r="B89" s="15" t="str">
        <x:v>servant of the lake walkthrough</x:v>
      </x:c>
      <x:c r="C89" s="15" t="str">
        <x:v>流程/收集</x:v>
      </x:c>
      <x:c r="D89" s="15" t="str">
        <x:v>P1</x:v>
      </x:c>
      <x:c r="E89" s="15" t="str">
        <x:v>低（约19）</x:v>
      </x:c>
      <x:c r="F89" s="15" t="str">
        <x:v>分步骤攻略页</x:v>
      </x:c>
      <x:c r="G89" s="15" t="str">
        <x:v>https://www.google.com/search?q=servant%20of%20the%20lake%20walkthrough</x:v>
      </x:c>
    </x:row>
    <x:row r="90">
      <x:c r="A90" s="15" t="str">
        <x:v>Servant of the Lake</x:v>
      </x:c>
      <x:c r="B90" s="15" t="str">
        <x:v>servant of the lake full walkthrough</x:v>
      </x:c>
      <x:c r="C90" s="15" t="str">
        <x:v>流程/收集</x:v>
      </x:c>
      <x:c r="D90" s="15" t="str">
        <x:v>P1</x:v>
      </x:c>
      <x:c r="E90" s="15" t="str">
        <x:v>低（约19）</x:v>
      </x:c>
      <x:c r="F90" s="15" t="str">
        <x:v>分步骤攻略页</x:v>
      </x:c>
      <x:c r="G90" s="15" t="str">
        <x:v>https://www.google.com/search?q=servant%20of%20the%20lake%20full%20walkthrough</x:v>
      </x:c>
    </x:row>
    <x:row r="91">
      <x:c r="A91" s="15" t="str">
        <x:v>Servant of the Lake</x:v>
      </x:c>
      <x:c r="B91" s="15" t="str">
        <x:v>servant of the lake chapter 1 walkthrough</x:v>
      </x:c>
      <x:c r="C91" s="15" t="str">
        <x:v>流程/收集</x:v>
      </x:c>
      <x:c r="D91" s="15" t="str">
        <x:v>P1</x:v>
      </x:c>
      <x:c r="E91" s="15" t="str">
        <x:v>低（约10）</x:v>
      </x:c>
      <x:c r="F91" s="15" t="str">
        <x:v>分步骤攻略页</x:v>
      </x:c>
      <x:c r="G91" s="15" t="str">
        <x:v>https://www.google.com/search?q=servant%20of%20the%20lake%20chapter%201%20walkthrough</x:v>
      </x:c>
    </x:row>
    <x:row r="92">
      <x:c r="A92" s="15" t="str">
        <x:v>Servant of the Lake</x:v>
      </x:c>
      <x:c r="B92" s="15" t="str">
        <x:v>servant of the lake chapter 2 walkthrough</x:v>
      </x:c>
      <x:c r="C92" s="15" t="str">
        <x:v>流程/收集</x:v>
      </x:c>
      <x:c r="D92" s="15" t="str">
        <x:v>P1</x:v>
      </x:c>
      <x:c r="E92" s="15" t="str">
        <x:v>低（约10）</x:v>
      </x:c>
      <x:c r="F92" s="15" t="str">
        <x:v>分步骤攻略页</x:v>
      </x:c>
      <x:c r="G92" s="15" t="str">
        <x:v>https://www.google.com/search?q=servant%20of%20the%20lake%20chapter%202%20walkthrough</x:v>
      </x:c>
    </x:row>
    <x:row r="93">
      <x:c r="A93" s="15" t="str">
        <x:v>Servant of the Lake</x:v>
      </x:c>
      <x:c r="B93" s="15" t="str">
        <x:v>servant of the lake chapter 3 walkthrough</x:v>
      </x:c>
      <x:c r="C93" s="15" t="str">
        <x:v>流程/收集</x:v>
      </x:c>
      <x:c r="D93" s="15" t="str">
        <x:v>P1</x:v>
      </x:c>
      <x:c r="E93" s="15" t="str">
        <x:v>低（约10）</x:v>
      </x:c>
      <x:c r="F93" s="15" t="str">
        <x:v>分步骤攻略页</x:v>
      </x:c>
      <x:c r="G93" s="15" t="str">
        <x:v>https://www.google.com/search?q=servant%20of%20the%20lake%20chapter%203%20walkthrough</x:v>
      </x:c>
    </x:row>
    <x:row r="94">
      <x:c r="A94" s="15" t="str">
        <x:v>Servant of the Lake</x:v>
      </x:c>
      <x:c r="B94" s="15" t="str">
        <x:v>servant of the lake chapter 4 walkthrough</x:v>
      </x:c>
      <x:c r="C94" s="15" t="str">
        <x:v>流程/收集</x:v>
      </x:c>
      <x:c r="D94" s="15" t="str">
        <x:v>P1</x:v>
      </x:c>
      <x:c r="E94" s="15" t="str">
        <x:v>低（约10）</x:v>
      </x:c>
      <x:c r="F94" s="15" t="str">
        <x:v>分步骤攻略页</x:v>
      </x:c>
      <x:c r="G94" s="15" t="str">
        <x:v>https://www.google.com/search?q=servant%20of%20the%20lake%20chapter%204%20walkthrough</x:v>
      </x:c>
    </x:row>
    <x:row r="95">
      <x:c r="A95" s="15" t="str">
        <x:v>Servant of the Lake</x:v>
      </x:c>
      <x:c r="B95" s="15" t="str">
        <x:v>servant of the lake chapter 5 walkthrough</x:v>
      </x:c>
      <x:c r="C95" s="15" t="str">
        <x:v>流程/收集</x:v>
      </x:c>
      <x:c r="D95" s="15" t="str">
        <x:v>P1</x:v>
      </x:c>
      <x:c r="E95" s="15" t="str">
        <x:v>低（约10）</x:v>
      </x:c>
      <x:c r="F95" s="15" t="str">
        <x:v>分步骤攻略页</x:v>
      </x:c>
      <x:c r="G95" s="15" t="str">
        <x:v>https://www.google.com/search?q=servant%20of%20the%20lake%20chapter%205%20walkthrough</x:v>
      </x:c>
    </x:row>
    <x:row r="96">
      <x:c r="A96" s="15" t="str">
        <x:v>Servant of the Lake</x:v>
      </x:c>
      <x:c r="B96" s="15" t="str">
        <x:v>servant of the lake puzzle solutions</x:v>
      </x:c>
      <x:c r="C96" s="15" t="str">
        <x:v>流程/收集</x:v>
      </x:c>
      <x:c r="D96" s="15" t="str">
        <x:v>P1</x:v>
      </x:c>
      <x:c r="E96" s="15" t="str">
        <x:v>低（约15）</x:v>
      </x:c>
      <x:c r="F96" s="15" t="str">
        <x:v>分步骤攻略页</x:v>
      </x:c>
      <x:c r="G96" s="15" t="str">
        <x:v>https://www.google.com/search?q=servant%20of%20the%20lake%20puzzle%20solutions</x:v>
      </x:c>
    </x:row>
    <x:row r="97">
      <x:c r="A97" s="15" t="str">
        <x:v>Servant of the Lake</x:v>
      </x:c>
      <x:c r="B97" s="15" t="str">
        <x:v>servant of the lake all endings</x:v>
      </x:c>
      <x:c r="C97" s="15" t="str">
        <x:v>流程/收集</x:v>
      </x:c>
      <x:c r="D97" s="15" t="str">
        <x:v>P1</x:v>
      </x:c>
      <x:c r="E97" s="15" t="str">
        <x:v>低（约19）</x:v>
      </x:c>
      <x:c r="F97" s="15" t="str">
        <x:v>分步骤攻略页</x:v>
      </x:c>
      <x:c r="G97" s="15" t="str">
        <x:v>https://www.google.com/search?q=servant%20of%20the%20lake%20all%20endings</x:v>
      </x:c>
    </x:row>
    <x:row r="98">
      <x:c r="A98" s="15" t="str">
        <x:v>Servant of the Lake</x:v>
      </x:c>
      <x:c r="B98" s="15" t="str">
        <x:v>servant of the lake achievements</x:v>
      </x:c>
      <x:c r="C98" s="15" t="str">
        <x:v>流程/收集</x:v>
      </x:c>
      <x:c r="D98" s="15" t="str">
        <x:v>P2</x:v>
      </x:c>
      <x:c r="E98" s="15" t="str">
        <x:v>低（约15）</x:v>
      </x:c>
      <x:c r="F98" s="15" t="str">
        <x:v>分步骤攻略页</x:v>
      </x:c>
      <x:c r="G98" s="15" t="str">
        <x:v>https://www.google.com/search?q=servant%20of%20the%20lake%20achievements</x:v>
      </x:c>
    </x:row>
    <x:row r="99">
      <x:c r="A99" s="15" t="str">
        <x:v>Servant of the Lake</x:v>
      </x:c>
      <x:c r="B99" s="15" t="str">
        <x:v>servant of the lake symbol puzzle</x:v>
      </x:c>
      <x:c r="C99" s="15" t="str">
        <x:v>流程/收集</x:v>
      </x:c>
      <x:c r="D99" s="15" t="str">
        <x:v>P1</x:v>
      </x:c>
      <x:c r="E99" s="15" t="str">
        <x:v>低（约15）</x:v>
      </x:c>
      <x:c r="F99" s="15" t="str">
        <x:v>分步骤攻略页</x:v>
      </x:c>
      <x:c r="G99" s="15" t="str">
        <x:v>https://www.google.com/search?q=servant%20of%20the%20lake%20symbol%20puzzle</x:v>
      </x:c>
    </x:row>
    <x:row r="100">
      <x:c r="A100" s="15" t="str">
        <x:v>Servant of the Lake</x:v>
      </x:c>
      <x:c r="B100" s="15" t="str">
        <x:v>servant of the lake alchemy puzzle</x:v>
      </x:c>
      <x:c r="C100" s="15" t="str">
        <x:v>流程/收集</x:v>
      </x:c>
      <x:c r="D100" s="15" t="str">
        <x:v>P1</x:v>
      </x:c>
      <x:c r="E100" s="15" t="str">
        <x:v>低（约15）</x:v>
      </x:c>
      <x:c r="F100" s="15" t="str">
        <x:v>分步骤攻略页</x:v>
      </x:c>
      <x:c r="G100" s="15" t="str">
        <x:v>https://www.google.com/search?q=servant%20of%20the%20lake%20alchemy%20puzzle</x:v>
      </x:c>
    </x:row>
    <x:row r="101">
      <x:c r="A101" s="15" t="str">
        <x:v>Servant of the Lake</x:v>
      </x:c>
      <x:c r="B101" s="15" t="str">
        <x:v>servant of the lake key locations</x:v>
      </x:c>
      <x:c r="C101" s="15" t="str">
        <x:v>流程/收集</x:v>
      </x:c>
      <x:c r="D101" s="15" t="str">
        <x:v>P2</x:v>
      </x:c>
      <x:c r="E101" s="15" t="str">
        <x:v>低（约10）</x:v>
      </x:c>
      <x:c r="F101" s="15" t="str">
        <x:v>分步骤攻略页</x:v>
      </x:c>
      <x:c r="G101" s="15" t="str">
        <x:v>https://www.google.com/search?q=servant%20of%20the%20lake%20key%20locations</x:v>
      </x:c>
    </x:row>
    <x:row r="102">
      <x:c r="A102" s="15" t="str">
        <x:v>Servant of the Lake</x:v>
      </x:c>
      <x:c r="B102" s="15" t="str">
        <x:v>servant of the lake mansion map</x:v>
      </x:c>
      <x:c r="C102" s="15" t="str">
        <x:v>流程/收集</x:v>
      </x:c>
      <x:c r="D102" s="15" t="str">
        <x:v>P2</x:v>
      </x:c>
      <x:c r="E102" s="15" t="str">
        <x:v>低（约15）</x:v>
      </x:c>
      <x:c r="F102" s="15" t="str">
        <x:v>分步骤攻略页</x:v>
      </x:c>
      <x:c r="G102" s="15" t="str">
        <x:v>https://www.google.com/search?q=servant%20of%20the%20lake%20mansion%20map</x:v>
      </x:c>
    </x:row>
    <x:row r="103">
      <x:c r="A103" s="15" t="str">
        <x:v>Servant of the Lake</x:v>
      </x:c>
      <x:c r="B103" s="15" t="str">
        <x:v>servant of the lake Vanderboom family</x:v>
      </x:c>
      <x:c r="C103" s="15" t="str">
        <x:v>机制/入门</x:v>
      </x:c>
      <x:c r="D103" s="15" t="str">
        <x:v>P3</x:v>
      </x:c>
      <x:c r="E103" s="15" t="str">
        <x:v>低（约15）</x:v>
      </x:c>
      <x:c r="F103" s="15" t="str">
        <x:v>机制说明页</x:v>
      </x:c>
      <x:c r="G103" s="15" t="str">
        <x:v>https://www.google.com/search?q=servant%20of%20the%20lake%20Vanderboom%20family</x:v>
      </x:c>
    </x:row>
    <x:row r="104">
      <x:c r="A104" s="15" t="str">
        <x:v>Servant of the Lake</x:v>
      </x:c>
      <x:c r="B104" s="15" t="str">
        <x:v>servant of the lake demo vs full game</x:v>
      </x:c>
      <x:c r="C104" s="15" t="str">
        <x:v>机制/入门</x:v>
      </x:c>
      <x:c r="D104" s="15" t="str">
        <x:v>P3</x:v>
      </x:c>
      <x:c r="E104" s="15" t="str">
        <x:v>低（约15）</x:v>
      </x:c>
      <x:c r="F104" s="15" t="str">
        <x:v>机制说明页</x:v>
      </x:c>
      <x:c r="G104" s="15" t="str">
        <x:v>https://www.google.com/search?q=servant%20of%20the%20lake%20demo%20vs%20full%20game</x:v>
      </x:c>
    </x:row>
    <x:row r="105">
      <x:c r="A105" s="15" t="str">
        <x:v>Servant of the Lake</x:v>
      </x:c>
      <x:c r="B105" s="15" t="str">
        <x:v>servant of the lake safe code</x:v>
      </x:c>
      <x:c r="C105" s="15" t="str">
        <x:v>流程/收集</x:v>
      </x:c>
      <x:c r="D105" s="15" t="str">
        <x:v>P3</x:v>
      </x:c>
      <x:c r="E105" s="15" t="str">
        <x:v>低（约15）</x:v>
      </x:c>
      <x:c r="F105" s="15" t="str">
        <x:v>分步骤攻略页</x:v>
      </x:c>
      <x:c r="G105" s="15" t="str">
        <x:v>https://www.google.com/search?q=servant%20of%20the%20lake%20safe%20code</x:v>
      </x:c>
    </x:row>
    <x:row r="106">
      <x:c r="A106" s="15" t="str">
        <x:v>Servant of the Lake</x:v>
      </x:c>
      <x:c r="B106" s="15" t="str">
        <x:v>servant of the lake hidden objects</x:v>
      </x:c>
      <x:c r="C106" s="15" t="str">
        <x:v>机制/入门</x:v>
      </x:c>
      <x:c r="D106" s="15" t="str">
        <x:v>P3</x:v>
      </x:c>
      <x:c r="E106" s="15" t="str">
        <x:v>低（约15）</x:v>
      </x:c>
      <x:c r="F106" s="15" t="str">
        <x:v>机制说明页</x:v>
      </x:c>
      <x:c r="G106" s="15" t="str">
        <x:v>https://www.google.com/search?q=servant%20of%20the%20lake%20hidden%20objects</x:v>
      </x:c>
    </x:row>
    <x:row r="107">
      <x:c r="A107" s="15" t="str">
        <x:v>Servant of the Lake</x:v>
      </x:c>
      <x:c r="B107" s="15" t="str">
        <x:v>servant of the lake inventory guide</x:v>
      </x:c>
      <x:c r="C107" s="15" t="str">
        <x:v>机制/入门</x:v>
      </x:c>
      <x:c r="D107" s="15" t="str">
        <x:v>P1</x:v>
      </x:c>
      <x:c r="E107" s="15" t="str">
        <x:v>低（约15）</x:v>
      </x:c>
      <x:c r="F107" s="15" t="str">
        <x:v>机制说明页</x:v>
      </x:c>
      <x:c r="G107" s="15" t="str">
        <x:v>https://www.google.com/search?q=servant%20of%20the%20lake%20inventory%20guide</x:v>
      </x:c>
    </x:row>
    <x:row r="108">
      <x:c r="A108" s="15" t="str">
        <x:v>Servant of the Lake</x:v>
      </x:c>
      <x:c r="B108" s="15" t="str">
        <x:v>servant of the lake secret ending</x:v>
      </x:c>
      <x:c r="C108" s="15" t="str">
        <x:v>流程/收集</x:v>
      </x:c>
      <x:c r="D108" s="15" t="str">
        <x:v>P2</x:v>
      </x:c>
      <x:c r="E108" s="15" t="str">
        <x:v>低（约15）</x:v>
      </x:c>
      <x:c r="F108" s="15" t="str">
        <x:v>分步骤攻略页</x:v>
      </x:c>
      <x:c r="G108" s="15" t="str">
        <x:v>https://www.google.com/search?q=servant%20of%20the%20lake%20secret%20ending</x:v>
      </x:c>
    </x:row>
    <x:row r="109">
      <x:c r="A109" s="15" t="str">
        <x:v>Servant of the Lake</x:v>
      </x:c>
      <x:c r="B109" s="15" t="str">
        <x:v>servant of the lake story explained</x:v>
      </x:c>
      <x:c r="C109" s="15" t="str">
        <x:v>机制/入门</x:v>
      </x:c>
      <x:c r="D109" s="15" t="str">
        <x:v>P3</x:v>
      </x:c>
      <x:c r="E109" s="15" t="str">
        <x:v>低（约15）</x:v>
      </x:c>
      <x:c r="F109" s="15" t="str">
        <x:v>机制说明页</x:v>
      </x:c>
      <x:c r="G109" s="15" t="str">
        <x:v>https://www.google.com/search?q=servant%20of%20the%20lake%20story%20explained</x:v>
      </x:c>
    </x:row>
    <x:row r="110">
      <x:c r="A110" s="15" t="str">
        <x:v>Servant of the Lake</x:v>
      </x:c>
      <x:c r="B110" s="15" t="str">
        <x:v>servant of the lake timeline</x:v>
      </x:c>
      <x:c r="C110" s="15" t="str">
        <x:v>机制/入门</x:v>
      </x:c>
      <x:c r="D110" s="15" t="str">
        <x:v>P3</x:v>
      </x:c>
      <x:c r="E110" s="15" t="str">
        <x:v>低（约15）</x:v>
      </x:c>
      <x:c r="F110" s="15" t="str">
        <x:v>机制说明页</x:v>
      </x:c>
      <x:c r="G110" s="15" t="str">
        <x:v>https://www.google.com/search?q=servant%20of%20the%20lake%20timeline</x:v>
      </x:c>
    </x:row>
    <x:row r="111">
      <x:c r="A111" s="15" t="str">
        <x:v>Servant of the Lake</x:v>
      </x:c>
      <x:c r="B111" s="15" t="str">
        <x:v>servant of the lake mobile walkthrough</x:v>
      </x:c>
      <x:c r="C111" s="15" t="str">
        <x:v>流程/收集</x:v>
      </x:c>
      <x:c r="D111" s="15" t="str">
        <x:v>P1</x:v>
      </x:c>
      <x:c r="E111" s="15" t="str">
        <x:v>低（约19）</x:v>
      </x:c>
      <x:c r="F111" s="15" t="str">
        <x:v>分步骤攻略页</x:v>
      </x:c>
      <x:c r="G111" s="15" t="str">
        <x:v>https://www.google.com/search?q=servant%20of%20the%20lake%20mobile%20walkthrough</x:v>
      </x:c>
    </x:row>
    <x:row r="112">
      <x:c r="A112" s="15" t="str">
        <x:v>Servant of the Lake</x:v>
      </x:c>
      <x:c r="B112" s="15" t="str">
        <x:v>servant of the lake puzzle hints</x:v>
      </x:c>
      <x:c r="C112" s="15" t="str">
        <x:v>流程/收集</x:v>
      </x:c>
      <x:c r="D112" s="15" t="str">
        <x:v>P1</x:v>
      </x:c>
      <x:c r="E112" s="15" t="str">
        <x:v>低（约15）</x:v>
      </x:c>
      <x:c r="F112" s="15" t="str">
        <x:v>分步骤攻略页</x:v>
      </x:c>
      <x:c r="G112" s="15" t="str">
        <x:v>https://www.google.com/search?q=servant%20of%20the%20lake%20puzzle%20hints</x:v>
      </x:c>
    </x:row>
    <x:row r="113">
      <x:c r="A113" s="15" t="str">
        <x:v>Halo: Campaign Evolved</x:v>
      </x:c>
      <x:c r="B113" s="15" t="str">
        <x:v>halo campaign evolved walkthrough</x:v>
      </x:c>
      <x:c r="C113" s="15" t="str">
        <x:v>流程/收集</x:v>
      </x:c>
      <x:c r="D113" s="15" t="str">
        <x:v>P1</x:v>
      </x:c>
      <x:c r="E113" s="15" t="str">
        <x:v>高（约73）</x:v>
      </x:c>
      <x:c r="F113" s="15" t="str">
        <x:v>分步骤攻略页</x:v>
      </x:c>
      <x:c r="G113" s="15" t="str">
        <x:v>https://www.google.com/search?q=halo%20campaign%20evolved%20walkthrough</x:v>
      </x:c>
    </x:row>
    <x:row r="114">
      <x:c r="A114" s="15" t="str">
        <x:v>Halo: Campaign Evolved</x:v>
      </x:c>
      <x:c r="B114" s="15" t="str">
        <x:v>halo campaign evolved all skull locations</x:v>
      </x:c>
      <x:c r="C114" s="15" t="str">
        <x:v>流程/收集</x:v>
      </x:c>
      <x:c r="D114" s="15" t="str">
        <x:v>P1</x:v>
      </x:c>
      <x:c r="E114" s="15" t="str">
        <x:v>高（约64）</x:v>
      </x:c>
      <x:c r="F114" s="15" t="str">
        <x:v>分步骤攻略页</x:v>
      </x:c>
      <x:c r="G114" s="15" t="str">
        <x:v>https://www.google.com/search?q=halo%20campaign%20evolved%20all%20skull%20locations</x:v>
      </x:c>
    </x:row>
    <x:row r="115">
      <x:c r="A115" s="15" t="str">
        <x:v>Halo: Campaign Evolved</x:v>
      </x:c>
      <x:c r="B115" s="15" t="str">
        <x:v>halo campaign evolved all terminals</x:v>
      </x:c>
      <x:c r="C115" s="15" t="str">
        <x:v>流程/收集</x:v>
      </x:c>
      <x:c r="D115" s="15" t="str">
        <x:v>P1</x:v>
      </x:c>
      <x:c r="E115" s="15" t="str">
        <x:v>高（约73）</x:v>
      </x:c>
      <x:c r="F115" s="15" t="str">
        <x:v>分步骤攻略页</x:v>
      </x:c>
      <x:c r="G115" s="15" t="str">
        <x:v>https://www.google.com/search?q=halo%20campaign%20evolved%20all%20terminals</x:v>
      </x:c>
    </x:row>
    <x:row r="116">
      <x:c r="A116" s="15" t="str">
        <x:v>Halo: Campaign Evolved</x:v>
      </x:c>
      <x:c r="B116" s="15" t="str">
        <x:v>halo campaign evolved achievements</x:v>
      </x:c>
      <x:c r="C116" s="15" t="str">
        <x:v>流程/收集</x:v>
      </x:c>
      <x:c r="D116" s="15" t="str">
        <x:v>P2</x:v>
      </x:c>
      <x:c r="E116" s="15" t="str">
        <x:v>高（约69）</x:v>
      </x:c>
      <x:c r="F116" s="15" t="str">
        <x:v>分步骤攻略页</x:v>
      </x:c>
      <x:c r="G116" s="15" t="str">
        <x:v>https://www.google.com/search?q=halo%20campaign%20evolved%20achievements</x:v>
      </x:c>
    </x:row>
    <x:row r="117">
      <x:c r="A117" s="15" t="str">
        <x:v>Halo: Campaign Evolved</x:v>
      </x:c>
      <x:c r="B117" s="15" t="str">
        <x:v>halo campaign evolved legendary guide</x:v>
      </x:c>
      <x:c r="C117" s="15" t="str">
        <x:v>机制/入门</x:v>
      </x:c>
      <x:c r="D117" s="15" t="str">
        <x:v>P1</x:v>
      </x:c>
      <x:c r="E117" s="15" t="str">
        <x:v>高（约69）</x:v>
      </x:c>
      <x:c r="F117" s="15" t="str">
        <x:v>机制说明页</x:v>
      </x:c>
      <x:c r="G117" s="15" t="str">
        <x:v>https://www.google.com/search?q=halo%20campaign%20evolved%20legendary%20guide</x:v>
      </x:c>
    </x:row>
    <x:row r="118">
      <x:c r="A118" s="15" t="str">
        <x:v>Halo: Campaign Evolved</x:v>
      </x:c>
      <x:c r="B118" s="15" t="str">
        <x:v>halo campaign evolved LASO guide</x:v>
      </x:c>
      <x:c r="C118" s="15" t="str">
        <x:v>机制/入门</x:v>
      </x:c>
      <x:c r="D118" s="15" t="str">
        <x:v>P1</x:v>
      </x:c>
      <x:c r="E118" s="15" t="str">
        <x:v>高（约69）</x:v>
      </x:c>
      <x:c r="F118" s="15" t="str">
        <x:v>机制说明页</x:v>
      </x:c>
      <x:c r="G118" s="15" t="str">
        <x:v>https://www.google.com/search?q=halo%20campaign%20evolved%20LASO%20guide</x:v>
      </x:c>
    </x:row>
    <x:row r="119">
      <x:c r="A119" s="15" t="str">
        <x:v>Halo: Campaign Evolved</x:v>
      </x:c>
      <x:c r="B119" s="15" t="str">
        <x:v>halo campaign evolved co op guide</x:v>
      </x:c>
      <x:c r="C119" s="15" t="str">
        <x:v>机制/入门</x:v>
      </x:c>
      <x:c r="D119" s="15" t="str">
        <x:v>P1</x:v>
      </x:c>
      <x:c r="E119" s="15" t="str">
        <x:v>高（约69）</x:v>
      </x:c>
      <x:c r="F119" s="15" t="str">
        <x:v>机制说明页</x:v>
      </x:c>
      <x:c r="G119" s="15" t="str">
        <x:v>https://www.google.com/search?q=halo%20campaign%20evolved%20co%20op%20guide</x:v>
      </x:c>
    </x:row>
    <x:row r="120">
      <x:c r="A120" s="15" t="str">
        <x:v>Halo: Campaign Evolved</x:v>
      </x:c>
      <x:c r="B120" s="15" t="str">
        <x:v>halo campaign evolved crossplay</x:v>
      </x:c>
      <x:c r="C120" s="15" t="str">
        <x:v>机制/入门</x:v>
      </x:c>
      <x:c r="D120" s="15" t="str">
        <x:v>P3</x:v>
      </x:c>
      <x:c r="E120" s="15" t="str">
        <x:v>高（约69）</x:v>
      </x:c>
      <x:c r="F120" s="15" t="str">
        <x:v>机制说明页</x:v>
      </x:c>
      <x:c r="G120" s="15" t="str">
        <x:v>https://www.google.com/search?q=halo%20campaign%20evolved%20crossplay</x:v>
      </x:c>
    </x:row>
    <x:row r="121">
      <x:c r="A121" s="15" t="str">
        <x:v>Halo: Campaign Evolved</x:v>
      </x:c>
      <x:c r="B121" s="15" t="str">
        <x:v>halo campaign evolved campaign remix</x:v>
      </x:c>
      <x:c r="C121" s="15" t="str">
        <x:v>机制/入门</x:v>
      </x:c>
      <x:c r="D121" s="15" t="str">
        <x:v>P3</x:v>
      </x:c>
      <x:c r="E121" s="15" t="str">
        <x:v>高（约69）</x:v>
      </x:c>
      <x:c r="F121" s="15" t="str">
        <x:v>机制说明页</x:v>
      </x:c>
      <x:c r="G121" s="15" t="str">
        <x:v>https://www.google.com/search?q=halo%20campaign%20evolved%20campaign%20remix</x:v>
      </x:c>
    </x:row>
    <x:row r="122">
      <x:c r="A122" s="15" t="str">
        <x:v>Halo: Campaign Evolved</x:v>
      </x:c>
      <x:c r="B122" s="15" t="str">
        <x:v>halo campaign evolved secret missions</x:v>
      </x:c>
      <x:c r="C122" s="15" t="str">
        <x:v>流程/收集</x:v>
      </x:c>
      <x:c r="D122" s="15" t="str">
        <x:v>P3</x:v>
      </x:c>
      <x:c r="E122" s="15" t="str">
        <x:v>高（约64）</x:v>
      </x:c>
      <x:c r="F122" s="15" t="str">
        <x:v>分步骤攻略页</x:v>
      </x:c>
      <x:c r="G122" s="15" t="str">
        <x:v>https://www.google.com/search?q=halo%20campaign%20evolved%20secret%20missions</x:v>
      </x:c>
    </x:row>
    <x:row r="123">
      <x:c r="A123" s="15" t="str">
        <x:v>Halo: Campaign Evolved</x:v>
      </x:c>
      <x:c r="B123" s="15" t="str">
        <x:v>halo campaign evolved boarding action skulls</x:v>
      </x:c>
      <x:c r="C123" s="15" t="str">
        <x:v>流程/收集</x:v>
      </x:c>
      <x:c r="D123" s="15" t="str">
        <x:v>P3</x:v>
      </x:c>
      <x:c r="E123" s="15" t="str">
        <x:v>高（约69）</x:v>
      </x:c>
      <x:c r="F123" s="15" t="str">
        <x:v>分步骤攻略页</x:v>
      </x:c>
      <x:c r="G123" s="15" t="str">
        <x:v>https://www.google.com/search?q=halo%20campaign%20evolved%20boarding%20action%20skulls</x:v>
      </x:c>
    </x:row>
    <x:row r="124">
      <x:c r="A124" s="15" t="str">
        <x:v>Halo: Campaign Evolved</x:v>
      </x:c>
      <x:c r="B124" s="15" t="str">
        <x:v>halo campaign evolved pillar of autumn skulls</x:v>
      </x:c>
      <x:c r="C124" s="15" t="str">
        <x:v>流程/收集</x:v>
      </x:c>
      <x:c r="D124" s="15" t="str">
        <x:v>P3</x:v>
      </x:c>
      <x:c r="E124" s="15" t="str">
        <x:v>高（约69）</x:v>
      </x:c>
      <x:c r="F124" s="15" t="str">
        <x:v>分步骤攻略页</x:v>
      </x:c>
      <x:c r="G124" s="15" t="str">
        <x:v>https://www.google.com/search?q=halo%20campaign%20evolved%20pillar%20of%20autumn%20skulls</x:v>
      </x:c>
    </x:row>
    <x:row r="125">
      <x:c r="A125" s="15" t="str">
        <x:v>Halo: Campaign Evolved</x:v>
      </x:c>
      <x:c r="B125" s="15" t="str">
        <x:v>halo campaign evolved silent cartographer skulls</x:v>
      </x:c>
      <x:c r="C125" s="15" t="str">
        <x:v>流程/收集</x:v>
      </x:c>
      <x:c r="D125" s="15" t="str">
        <x:v>P3</x:v>
      </x:c>
      <x:c r="E125" s="15" t="str">
        <x:v>高（约69）</x:v>
      </x:c>
      <x:c r="F125" s="15" t="str">
        <x:v>分步骤攻略页</x:v>
      </x:c>
      <x:c r="G125" s="15" t="str">
        <x:v>https://www.google.com/search?q=halo%20campaign%20evolved%20silent%20cartographer%20skulls</x:v>
      </x:c>
    </x:row>
    <x:row r="126">
      <x:c r="A126" s="15" t="str">
        <x:v>Halo: Campaign Evolved</x:v>
      </x:c>
      <x:c r="B126" s="15" t="str">
        <x:v>halo campaign evolved assault on control room skulls</x:v>
      </x:c>
      <x:c r="C126" s="15" t="str">
        <x:v>流程/收集</x:v>
      </x:c>
      <x:c r="D126" s="15" t="str">
        <x:v>P3</x:v>
      </x:c>
      <x:c r="E126" s="15" t="str">
        <x:v>高（约69）</x:v>
      </x:c>
      <x:c r="F126" s="15" t="str">
        <x:v>分步骤攻略页</x:v>
      </x:c>
      <x:c r="G126" s="15" t="str">
        <x:v>https://www.google.com/search?q=halo%20campaign%20evolved%20assault%20on%20control%20room%20skulls</x:v>
      </x:c>
    </x:row>
    <x:row r="127">
      <x:c r="A127" s="15" t="str">
        <x:v>Halo: Campaign Evolved</x:v>
      </x:c>
      <x:c r="B127" s="15" t="str">
        <x:v>halo campaign evolved 343 guilty spark skulls</x:v>
      </x:c>
      <x:c r="C127" s="15" t="str">
        <x:v>流程/收集</x:v>
      </x:c>
      <x:c r="D127" s="15" t="str">
        <x:v>P3</x:v>
      </x:c>
      <x:c r="E127" s="15" t="str">
        <x:v>高（约69）</x:v>
      </x:c>
      <x:c r="F127" s="15" t="str">
        <x:v>分步骤攻略页</x:v>
      </x:c>
      <x:c r="G127" s="15" t="str">
        <x:v>https://www.google.com/search?q=halo%20campaign%20evolved%20343%20guilty%20spark%20skulls</x:v>
      </x:c>
    </x:row>
    <x:row r="128">
      <x:c r="A128" s="15" t="str">
        <x:v>Halo: Campaign Evolved</x:v>
      </x:c>
      <x:c r="B128" s="15" t="str">
        <x:v>halo campaign evolved library skulls</x:v>
      </x:c>
      <x:c r="C128" s="15" t="str">
        <x:v>流程/收集</x:v>
      </x:c>
      <x:c r="D128" s="15" t="str">
        <x:v>P3</x:v>
      </x:c>
      <x:c r="E128" s="15" t="str">
        <x:v>高（约69）</x:v>
      </x:c>
      <x:c r="F128" s="15" t="str">
        <x:v>分步骤攻略页</x:v>
      </x:c>
      <x:c r="G128" s="15" t="str">
        <x:v>https://www.google.com/search?q=halo%20campaign%20evolved%20library%20skulls</x:v>
      </x:c>
    </x:row>
    <x:row r="129">
      <x:c r="A129" s="15" t="str">
        <x:v>Halo: Campaign Evolved</x:v>
      </x:c>
      <x:c r="B129" s="15" t="str">
        <x:v>halo campaign evolved two betrayals skulls</x:v>
      </x:c>
      <x:c r="C129" s="15" t="str">
        <x:v>流程/收集</x:v>
      </x:c>
      <x:c r="D129" s="15" t="str">
        <x:v>P3</x:v>
      </x:c>
      <x:c r="E129" s="15" t="str">
        <x:v>高（约69）</x:v>
      </x:c>
      <x:c r="F129" s="15" t="str">
        <x:v>分步骤攻略页</x:v>
      </x:c>
      <x:c r="G129" s="15" t="str">
        <x:v>https://www.google.com/search?q=halo%20campaign%20evolved%20two%20betrayals%20skulls</x:v>
      </x:c>
    </x:row>
    <x:row r="130">
      <x:c r="A130" s="15" t="str">
        <x:v>Halo: Campaign Evolved</x:v>
      </x:c>
      <x:c r="B130" s="15" t="str">
        <x:v>halo campaign evolved keyes skulls</x:v>
      </x:c>
      <x:c r="C130" s="15" t="str">
        <x:v>流程/收集</x:v>
      </x:c>
      <x:c r="D130" s="15" t="str">
        <x:v>P3</x:v>
      </x:c>
      <x:c r="E130" s="15" t="str">
        <x:v>高（约69）</x:v>
      </x:c>
      <x:c r="F130" s="15" t="str">
        <x:v>分步骤攻略页</x:v>
      </x:c>
      <x:c r="G130" s="15" t="str">
        <x:v>https://www.google.com/search?q=halo%20campaign%20evolved%20keyes%20skulls</x:v>
      </x:c>
    </x:row>
    <x:row r="131">
      <x:c r="A131" s="15" t="str">
        <x:v>Halo: Campaign Evolved</x:v>
      </x:c>
      <x:c r="B131" s="15" t="str">
        <x:v>halo campaign evolved the maw skulls</x:v>
      </x:c>
      <x:c r="C131" s="15" t="str">
        <x:v>流程/收集</x:v>
      </x:c>
      <x:c r="D131" s="15" t="str">
        <x:v>P3</x:v>
      </x:c>
      <x:c r="E131" s="15" t="str">
        <x:v>高（约69）</x:v>
      </x:c>
      <x:c r="F131" s="15" t="str">
        <x:v>分步骤攻略页</x:v>
      </x:c>
      <x:c r="G131" s="15" t="str">
        <x:v>https://www.google.com/search?q=halo%20campaign%20evolved%20the%20maw%20skulls</x:v>
      </x:c>
    </x:row>
    <x:row r="132">
      <x:c r="A132" s="15" t="str">
        <x:v>Halo: Campaign Evolved</x:v>
      </x:c>
      <x:c r="B132" s="15" t="str">
        <x:v>halo campaign evolved malfunction skull</x:v>
      </x:c>
      <x:c r="C132" s="15" t="str">
        <x:v>流程/收集</x:v>
      </x:c>
      <x:c r="D132" s="15" t="str">
        <x:v>P3</x:v>
      </x:c>
      <x:c r="E132" s="15" t="str">
        <x:v>高（约69）</x:v>
      </x:c>
      <x:c r="F132" s="15" t="str">
        <x:v>分步骤攻略页</x:v>
      </x:c>
      <x:c r="G132" s="15" t="str">
        <x:v>https://www.google.com/search?q=halo%20campaign%20evolved%20malfunction%20skull</x:v>
      </x:c>
    </x:row>
    <x:row r="133">
      <x:c r="A133" s="15" t="str">
        <x:v>Halo: Campaign Evolved</x:v>
      </x:c>
      <x:c r="B133" s="15" t="str">
        <x:v>halo campaign evolved floor is lava skull</x:v>
      </x:c>
      <x:c r="C133" s="15" t="str">
        <x:v>流程/收集</x:v>
      </x:c>
      <x:c r="D133" s="15" t="str">
        <x:v>P3</x:v>
      </x:c>
      <x:c r="E133" s="15" t="str">
        <x:v>高（约69）</x:v>
      </x:c>
      <x:c r="F133" s="15" t="str">
        <x:v>分步骤攻略页</x:v>
      </x:c>
      <x:c r="G133" s="15" t="str">
        <x:v>https://www.google.com/search?q=halo%20campaign%20evolved%20floor%20is%20lava%20skull</x:v>
      </x:c>
    </x:row>
    <x:row r="134">
      <x:c r="A134" s="15" t="str">
        <x:v>Halo: Campaign Evolved</x:v>
      </x:c>
      <x:c r="B134" s="15" t="str">
        <x:v>halo campaign evolved perspective skull</x:v>
      </x:c>
      <x:c r="C134" s="15" t="str">
        <x:v>流程/收集</x:v>
      </x:c>
      <x:c r="D134" s="15" t="str">
        <x:v>P3</x:v>
      </x:c>
      <x:c r="E134" s="15" t="str">
        <x:v>高（约69）</x:v>
      </x:c>
      <x:c r="F134" s="15" t="str">
        <x:v>分步骤攻略页</x:v>
      </x:c>
      <x:c r="G134" s="15" t="str">
        <x:v>https://www.google.com/search?q=halo%20campaign%20evolved%20perspective%20skull</x:v>
      </x:c>
    </x:row>
    <x:row r="135">
      <x:c r="A135" s="15" t="str">
        <x:v>Halo: Campaign Evolved</x:v>
      </x:c>
      <x:c r="B135" s="15" t="str">
        <x:v>halo campaign evolved hip fire skull</x:v>
      </x:c>
      <x:c r="C135" s="15" t="str">
        <x:v>流程/收集</x:v>
      </x:c>
      <x:c r="D135" s="15" t="str">
        <x:v>P3</x:v>
      </x:c>
      <x:c r="E135" s="15" t="str">
        <x:v>高（约69）</x:v>
      </x:c>
      <x:c r="F135" s="15" t="str">
        <x:v>分步骤攻略页</x:v>
      </x:c>
      <x:c r="G135" s="15" t="str">
        <x:v>https://www.google.com/search?q=halo%20campaign%20evolved%20hip%20fire%20skull</x:v>
      </x:c>
    </x:row>
    <x:row r="136">
      <x:c r="A136" s="15" t="str">
        <x:v>Halo: Campaign Evolved</x:v>
      </x:c>
      <x:c r="B136" s="15" t="str">
        <x:v>halo campaign evolved stowed reload skull</x:v>
      </x:c>
      <x:c r="C136" s="15" t="str">
        <x:v>流程/收集</x:v>
      </x:c>
      <x:c r="D136" s="15" t="str">
        <x:v>P3</x:v>
      </x:c>
      <x:c r="E136" s="15" t="str">
        <x:v>高（约69）</x:v>
      </x:c>
      <x:c r="F136" s="15" t="str">
        <x:v>分步骤攻略页</x:v>
      </x:c>
      <x:c r="G136" s="15" t="str">
        <x:v>https://www.google.com/search?q=halo%20campaign%20evolved%20stowed%20reload%20skull</x:v>
      </x:c>
    </x:row>
    <x:row r="137">
      <x:c r="A137" s="15" t="str">
        <x:v>Halo: Campaign Evolved</x:v>
      </x:c>
      <x:c r="B137" s="15" t="str">
        <x:v>halo campaign evolved terminal locations</x:v>
      </x:c>
      <x:c r="C137" s="15" t="str">
        <x:v>流程/收集</x:v>
      </x:c>
      <x:c r="D137" s="15" t="str">
        <x:v>P2</x:v>
      </x:c>
      <x:c r="E137" s="15" t="str">
        <x:v>高（约64）</x:v>
      </x:c>
      <x:c r="F137" s="15" t="str">
        <x:v>分步骤攻略页</x:v>
      </x:c>
      <x:c r="G137" s="15" t="str">
        <x:v>https://www.google.com/search?q=halo%20campaign%20evolved%20terminal%20locations</x:v>
      </x:c>
    </x:row>
    <x:row r="138">
      <x:c r="A138" s="15" t="str">
        <x:v>Halo: Campaign Evolved</x:v>
      </x:c>
      <x:c r="B138" s="15" t="str">
        <x:v>halo campaign evolved bonus missions</x:v>
      </x:c>
      <x:c r="C138" s="15" t="str">
        <x:v>流程/收集</x:v>
      </x:c>
      <x:c r="D138" s="15" t="str">
        <x:v>P3</x:v>
      </x:c>
      <x:c r="E138" s="15" t="str">
        <x:v>高（约64）</x:v>
      </x:c>
      <x:c r="F138" s="15" t="str">
        <x:v>分步骤攻略页</x:v>
      </x:c>
      <x:c r="G138" s="15" t="str">
        <x:v>https://www.google.com/search?q=halo%20campaign%20evolved%20bonus%20missions</x:v>
      </x:c>
    </x:row>
    <x:row r="139">
      <x:c r="A139" s="15" t="str">
        <x:v>Halo: Campaign Evolved</x:v>
      </x:c>
      <x:c r="B139" s="15" t="str">
        <x:v>halo campaign evolved best skull combinations</x:v>
      </x:c>
      <x:c r="C139" s="15" t="str">
        <x:v>选择/优化</x:v>
      </x:c>
      <x:c r="D139" s="15" t="str">
        <x:v>P3</x:v>
      </x:c>
      <x:c r="E139" s="15" t="str">
        <x:v>高（约69）</x:v>
      </x:c>
      <x:c r="F139" s="15" t="str">
        <x:v>对比/构筑页</x:v>
      </x:c>
      <x:c r="G139" s="15" t="str">
        <x:v>https://www.google.com/search?q=halo%20campaign%20evolved%20best%20skull%20combinations</x:v>
      </x:c>
    </x:row>
    <x:row r="140">
      <x:c r="A140" s="15" t="str">
        <x:v>Halo: Campaign Evolved</x:v>
      </x:c>
      <x:c r="B140" s="15" t="str">
        <x:v>halo campaign evolved performance settings</x:v>
      </x:c>
      <x:c r="C140" s="15" t="str">
        <x:v>故障/设置</x:v>
      </x:c>
      <x:c r="D140" s="15" t="str">
        <x:v>P2</x:v>
      </x:c>
      <x:c r="E140" s="15" t="str">
        <x:v>高（约69）</x:v>
      </x:c>
      <x:c r="F140" s="15" t="str">
        <x:v>FAQ/排错页</x:v>
      </x:c>
      <x:c r="G140" s="15" t="str">
        <x:v>https://www.google.com/search?q=halo%20campaign%20evolved%20performance%20settings</x:v>
      </x:c>
    </x:row>
    <x:row r="141">
      <x:c r="A141" s="15" t="str">
        <x:v>Halo: Campaign Evolved</x:v>
      </x:c>
      <x:c r="B141" s="15" t="str">
        <x:v>halo campaign evolved progression bug</x:v>
      </x:c>
      <x:c r="C141" s="15" t="str">
        <x:v>机制/入门</x:v>
      </x:c>
      <x:c r="D141" s="15" t="str">
        <x:v>P3</x:v>
      </x:c>
      <x:c r="E141" s="15" t="str">
        <x:v>高（约69）</x:v>
      </x:c>
      <x:c r="F141" s="15" t="str">
        <x:v>机制说明页</x:v>
      </x:c>
      <x:c r="G141" s="15" t="str">
        <x:v>https://www.google.com/search?q=halo%20campaign%20evolved%20progression%20bug</x:v>
      </x:c>
    </x:row>
    <x:row r="142">
      <x:c r="A142" s="15" t="str">
        <x:v>Halo: Campaign Evolved</x:v>
      </x:c>
      <x:c r="B142" s="15" t="str">
        <x:v>halo campaign evolved mission list</x:v>
      </x:c>
      <x:c r="C142" s="15" t="str">
        <x:v>流程/收集</x:v>
      </x:c>
      <x:c r="D142" s="15" t="str">
        <x:v>P3</x:v>
      </x:c>
      <x:c r="E142" s="15" t="str">
        <x:v>高（约64）</x:v>
      </x:c>
      <x:c r="F142" s="15" t="str">
        <x:v>分步骤攻略页</x:v>
      </x:c>
      <x:c r="G142" s="15" t="str">
        <x:v>https://www.google.com/search?q=halo%20campaign%20evolved%20mission%20list</x:v>
      </x:c>
    </x:row>
    <x:row r="143">
      <x:c r="A143" s="15" t="str">
        <x:v>MARVEL Tōkon: Fighting Souls</x:v>
      </x:c>
      <x:c r="B143" s="15" t="str">
        <x:v>marvel tokon tier list</x:v>
      </x:c>
      <x:c r="C143" s="15" t="str">
        <x:v>选择/优化</x:v>
      </x:c>
      <x:c r="D143" s="15" t="str">
        <x:v>P1</x:v>
      </x:c>
      <x:c r="E143" s="15" t="str">
        <x:v>高（约69）</x:v>
      </x:c>
      <x:c r="F143" s="15" t="str">
        <x:v>对比/构筑页</x:v>
      </x:c>
      <x:c r="G143" s="15" t="str">
        <x:v>https://www.google.com/search?q=marvel%20tokon%20tier%20list</x:v>
      </x:c>
    </x:row>
    <x:row r="144">
      <x:c r="A144" s="15" t="str">
        <x:v>MARVEL Tōkon: Fighting Souls</x:v>
      </x:c>
      <x:c r="B144" s="15" t="str">
        <x:v>marvel tokon beginner guide</x:v>
      </x:c>
      <x:c r="C144" s="15" t="str">
        <x:v>机制/入门</x:v>
      </x:c>
      <x:c r="D144" s="15" t="str">
        <x:v>P1</x:v>
      </x:c>
      <x:c r="E144" s="15" t="str">
        <x:v>高（约69）</x:v>
      </x:c>
      <x:c r="F144" s="15" t="str">
        <x:v>机制说明页</x:v>
      </x:c>
      <x:c r="G144" s="15" t="str">
        <x:v>https://www.google.com/search?q=marvel%20tokon%20beginner%20guide</x:v>
      </x:c>
    </x:row>
    <x:row r="145">
      <x:c r="A145" s="15" t="str">
        <x:v>MARVEL Tōkon: Fighting Souls</x:v>
      </x:c>
      <x:c r="B145" s="15" t="str">
        <x:v>marvel tokon beginner combos</x:v>
      </x:c>
      <x:c r="C145" s="15" t="str">
        <x:v>机制/入门</x:v>
      </x:c>
      <x:c r="D145" s="15" t="str">
        <x:v>P1</x:v>
      </x:c>
      <x:c r="E145" s="15" t="str">
        <x:v>高（约69）</x:v>
      </x:c>
      <x:c r="F145" s="15" t="str">
        <x:v>机制说明页</x:v>
      </x:c>
      <x:c r="G145" s="15" t="str">
        <x:v>https://www.google.com/search?q=marvel%20tokon%20beginner%20combos</x:v>
      </x:c>
    </x:row>
    <x:row r="146">
      <x:c r="A146" s="15" t="str">
        <x:v>MARVEL Tōkon: Fighting Souls</x:v>
      </x:c>
      <x:c r="B146" s="15" t="str">
        <x:v>marvel tokon best team</x:v>
      </x:c>
      <x:c r="C146" s="15" t="str">
        <x:v>选择/优化</x:v>
      </x:c>
      <x:c r="D146" s="15" t="str">
        <x:v>P3</x:v>
      </x:c>
      <x:c r="E146" s="15" t="str">
        <x:v>高（约65）</x:v>
      </x:c>
      <x:c r="F146" s="15" t="str">
        <x:v>对比/构筑页</x:v>
      </x:c>
      <x:c r="G146" s="15" t="str">
        <x:v>https://www.google.com/search?q=marvel%20tokon%20best%20team</x:v>
      </x:c>
    </x:row>
    <x:row r="147">
      <x:c r="A147" s="15" t="str">
        <x:v>MARVEL Tōkon: Fighting Souls</x:v>
      </x:c>
      <x:c r="B147" s="15" t="str">
        <x:v>marvel tokon team synergy</x:v>
      </x:c>
      <x:c r="C147" s="15" t="str">
        <x:v>选择/优化</x:v>
      </x:c>
      <x:c r="D147" s="15" t="str">
        <x:v>P3</x:v>
      </x:c>
      <x:c r="E147" s="15" t="str">
        <x:v>高（约65）</x:v>
      </x:c>
      <x:c r="F147" s="15" t="str">
        <x:v>对比/构筑页</x:v>
      </x:c>
      <x:c r="G147" s="15" t="str">
        <x:v>https://www.google.com/search?q=marvel%20tokon%20team%20synergy</x:v>
      </x:c>
    </x:row>
    <x:row r="148">
      <x:c r="A148" s="15" t="str">
        <x:v>MARVEL Tōkon: Fighting Souls</x:v>
      </x:c>
      <x:c r="B148" s="15" t="str">
        <x:v>marvel tokon wolverine combos</x:v>
      </x:c>
      <x:c r="C148" s="15" t="str">
        <x:v>机制/入门</x:v>
      </x:c>
      <x:c r="D148" s="15" t="str">
        <x:v>P3</x:v>
      </x:c>
      <x:c r="E148" s="15" t="str">
        <x:v>高（约65）</x:v>
      </x:c>
      <x:c r="F148" s="15" t="str">
        <x:v>机制说明页</x:v>
      </x:c>
      <x:c r="G148" s="15" t="str">
        <x:v>https://www.google.com/search?q=marvel%20tokon%20wolverine%20combos</x:v>
      </x:c>
    </x:row>
    <x:row r="149">
      <x:c r="A149" s="15" t="str">
        <x:v>MARVEL Tōkon: Fighting Souls</x:v>
      </x:c>
      <x:c r="B149" s="15" t="str">
        <x:v>marvel tokon iron man combos</x:v>
      </x:c>
      <x:c r="C149" s="15" t="str">
        <x:v>机制/入门</x:v>
      </x:c>
      <x:c r="D149" s="15" t="str">
        <x:v>P3</x:v>
      </x:c>
      <x:c r="E149" s="15" t="str">
        <x:v>高（约65）</x:v>
      </x:c>
      <x:c r="F149" s="15" t="str">
        <x:v>机制说明页</x:v>
      </x:c>
      <x:c r="G149" s="15" t="str">
        <x:v>https://www.google.com/search?q=marvel%20tokon%20iron%20man%20combos</x:v>
      </x:c>
    </x:row>
    <x:row r="150">
      <x:c r="A150" s="15" t="str">
        <x:v>MARVEL Tōkon: Fighting Souls</x:v>
      </x:c>
      <x:c r="B150" s="15" t="str">
        <x:v>marvel tokon captain america combos</x:v>
      </x:c>
      <x:c r="C150" s="15" t="str">
        <x:v>机制/入门</x:v>
      </x:c>
      <x:c r="D150" s="15" t="str">
        <x:v>P3</x:v>
      </x:c>
      <x:c r="E150" s="15" t="str">
        <x:v>高（约65）</x:v>
      </x:c>
      <x:c r="F150" s="15" t="str">
        <x:v>机制说明页</x:v>
      </x:c>
      <x:c r="G150" s="15" t="str">
        <x:v>https://www.google.com/search?q=marvel%20tokon%20captain%20america%20combos</x:v>
      </x:c>
    </x:row>
    <x:row r="151">
      <x:c r="A151" s="15" t="str">
        <x:v>MARVEL Tōkon: Fighting Souls</x:v>
      </x:c>
      <x:c r="B151" s="15" t="str">
        <x:v>marvel tokon spider man combos</x:v>
      </x:c>
      <x:c r="C151" s="15" t="str">
        <x:v>机制/入门</x:v>
      </x:c>
      <x:c r="D151" s="15" t="str">
        <x:v>P3</x:v>
      </x:c>
      <x:c r="E151" s="15" t="str">
        <x:v>高（约65）</x:v>
      </x:c>
      <x:c r="F151" s="15" t="str">
        <x:v>机制说明页</x:v>
      </x:c>
      <x:c r="G151" s="15" t="str">
        <x:v>https://www.google.com/search?q=marvel%20tokon%20spider%20man%20combos</x:v>
      </x:c>
    </x:row>
    <x:row r="152">
      <x:c r="A152" s="15" t="str">
        <x:v>MARVEL Tōkon: Fighting Souls</x:v>
      </x:c>
      <x:c r="B152" s="15" t="str">
        <x:v>marvel tokon doctor doom combos</x:v>
      </x:c>
      <x:c r="C152" s="15" t="str">
        <x:v>机制/入门</x:v>
      </x:c>
      <x:c r="D152" s="15" t="str">
        <x:v>P3</x:v>
      </x:c>
      <x:c r="E152" s="15" t="str">
        <x:v>高（约65）</x:v>
      </x:c>
      <x:c r="F152" s="15" t="str">
        <x:v>机制说明页</x:v>
      </x:c>
      <x:c r="G152" s="15" t="str">
        <x:v>https://www.google.com/search?q=marvel%20tokon%20doctor%20doom%20combos</x:v>
      </x:c>
    </x:row>
    <x:row r="153">
      <x:c r="A153" s="15" t="str">
        <x:v>MARVEL Tōkon: Fighting Souls</x:v>
      </x:c>
      <x:c r="B153" s="15" t="str">
        <x:v>marvel tokon ghost rider combos</x:v>
      </x:c>
      <x:c r="C153" s="15" t="str">
        <x:v>机制/入门</x:v>
      </x:c>
      <x:c r="D153" s="15" t="str">
        <x:v>P3</x:v>
      </x:c>
      <x:c r="E153" s="15" t="str">
        <x:v>高（约65）</x:v>
      </x:c>
      <x:c r="F153" s="15" t="str">
        <x:v>机制说明页</x:v>
      </x:c>
      <x:c r="G153" s="15" t="str">
        <x:v>https://www.google.com/search?q=marvel%20tokon%20ghost%20rider%20combos</x:v>
      </x:c>
    </x:row>
    <x:row r="154">
      <x:c r="A154" s="15" t="str">
        <x:v>MARVEL Tōkon: Fighting Souls</x:v>
      </x:c>
      <x:c r="B154" s="15" t="str">
        <x:v>marvel tokon ms marvel combos</x:v>
      </x:c>
      <x:c r="C154" s="15" t="str">
        <x:v>机制/入门</x:v>
      </x:c>
      <x:c r="D154" s="15" t="str">
        <x:v>P3</x:v>
      </x:c>
      <x:c r="E154" s="15" t="str">
        <x:v>高（约65）</x:v>
      </x:c>
      <x:c r="F154" s="15" t="str">
        <x:v>机制说明页</x:v>
      </x:c>
      <x:c r="G154" s="15" t="str">
        <x:v>https://www.google.com/search?q=marvel%20tokon%20ms%20marvel%20combos</x:v>
      </x:c>
    </x:row>
    <x:row r="155">
      <x:c r="A155" s="15" t="str">
        <x:v>MARVEL Tōkon: Fighting Souls</x:v>
      </x:c>
      <x:c r="B155" s="15" t="str">
        <x:v>marvel tokon controls</x:v>
      </x:c>
      <x:c r="C155" s="15" t="str">
        <x:v>机制/入门</x:v>
      </x:c>
      <x:c r="D155" s="15" t="str">
        <x:v>P3</x:v>
      </x:c>
      <x:c r="E155" s="15" t="str">
        <x:v>高（约65）</x:v>
      </x:c>
      <x:c r="F155" s="15" t="str">
        <x:v>机制说明页</x:v>
      </x:c>
      <x:c r="G155" s="15" t="str">
        <x:v>https://www.google.com/search?q=marvel%20tokon%20controls</x:v>
      </x:c>
    </x:row>
    <x:row r="156">
      <x:c r="A156" s="15" t="str">
        <x:v>MARVEL Tōkon: Fighting Souls</x:v>
      </x:c>
      <x:c r="B156" s="15" t="str">
        <x:v>marvel tokon quick skill guide</x:v>
      </x:c>
      <x:c r="C156" s="15" t="str">
        <x:v>机制/入门</x:v>
      </x:c>
      <x:c r="D156" s="15" t="str">
        <x:v>P1</x:v>
      </x:c>
      <x:c r="E156" s="15" t="str">
        <x:v>高（约65）</x:v>
      </x:c>
      <x:c r="F156" s="15" t="str">
        <x:v>机制说明页</x:v>
      </x:c>
      <x:c r="G156" s="15" t="str">
        <x:v>https://www.google.com/search?q=marvel%20tokon%20quick%20skill%20guide</x:v>
      </x:c>
    </x:row>
    <x:row r="157">
      <x:c r="A157" s="15" t="str">
        <x:v>MARVEL Tōkon: Fighting Souls</x:v>
      </x:c>
      <x:c r="B157" s="15" t="str">
        <x:v>marvel tokon assemble gauge</x:v>
      </x:c>
      <x:c r="C157" s="15" t="str">
        <x:v>机制/入门</x:v>
      </x:c>
      <x:c r="D157" s="15" t="str">
        <x:v>P3</x:v>
      </x:c>
      <x:c r="E157" s="15" t="str">
        <x:v>高（约65）</x:v>
      </x:c>
      <x:c r="F157" s="15" t="str">
        <x:v>机制说明页</x:v>
      </x:c>
      <x:c r="G157" s="15" t="str">
        <x:v>https://www.google.com/search?q=marvel%20tokon%20assemble%20gauge</x:v>
      </x:c>
    </x:row>
    <x:row r="158">
      <x:c r="A158" s="15" t="str">
        <x:v>MARVEL Tōkon: Fighting Souls</x:v>
      </x:c>
      <x:c r="B158" s="15" t="str">
        <x:v>marvel tokon skill gauge</x:v>
      </x:c>
      <x:c r="C158" s="15" t="str">
        <x:v>机制/入门</x:v>
      </x:c>
      <x:c r="D158" s="15" t="str">
        <x:v>P3</x:v>
      </x:c>
      <x:c r="E158" s="15" t="str">
        <x:v>高（约65）</x:v>
      </x:c>
      <x:c r="F158" s="15" t="str">
        <x:v>机制说明页</x:v>
      </x:c>
      <x:c r="G158" s="15" t="str">
        <x:v>https://www.google.com/search?q=marvel%20tokon%20skill%20gauge</x:v>
      </x:c>
    </x:row>
    <x:row r="159">
      <x:c r="A159" s="15" t="str">
        <x:v>MARVEL Tōkon: Fighting Souls</x:v>
      </x:c>
      <x:c r="B159" s="15" t="str">
        <x:v>marvel tokon ranked guide</x:v>
      </x:c>
      <x:c r="C159" s="15" t="str">
        <x:v>机制/入门</x:v>
      </x:c>
      <x:c r="D159" s="15" t="str">
        <x:v>P1</x:v>
      </x:c>
      <x:c r="E159" s="15" t="str">
        <x:v>高（约65）</x:v>
      </x:c>
      <x:c r="F159" s="15" t="str">
        <x:v>机制说明页</x:v>
      </x:c>
      <x:c r="G159" s="15" t="str">
        <x:v>https://www.google.com/search?q=marvel%20tokon%20ranked%20guide</x:v>
      </x:c>
    </x:row>
    <x:row r="160">
      <x:c r="A160" s="15" t="str">
        <x:v>MARVEL Tōkon: Fighting Souls</x:v>
      </x:c>
      <x:c r="B160" s="15" t="str">
        <x:v>marvel tokon character unlocks</x:v>
      </x:c>
      <x:c r="C160" s="15" t="str">
        <x:v>机制/入门</x:v>
      </x:c>
      <x:c r="D160" s="15" t="str">
        <x:v>P3</x:v>
      </x:c>
      <x:c r="E160" s="15" t="str">
        <x:v>高（约65）</x:v>
      </x:c>
      <x:c r="F160" s="15" t="str">
        <x:v>机制说明页</x:v>
      </x:c>
      <x:c r="G160" s="15" t="str">
        <x:v>https://www.google.com/search?q=marvel%20tokon%20character%20unlocks</x:v>
      </x:c>
    </x:row>
    <x:row r="161">
      <x:c r="A161" s="15" t="str">
        <x:v>MARVEL Tōkon: Fighting Souls</x:v>
      </x:c>
      <x:c r="B161" s="15" t="str">
        <x:v>marvel tokon combo notation</x:v>
      </x:c>
      <x:c r="C161" s="15" t="str">
        <x:v>机制/入门</x:v>
      </x:c>
      <x:c r="D161" s="15" t="str">
        <x:v>P3</x:v>
      </x:c>
      <x:c r="E161" s="15" t="str">
        <x:v>高（约65）</x:v>
      </x:c>
      <x:c r="F161" s="15" t="str">
        <x:v>机制说明页</x:v>
      </x:c>
      <x:c r="G161" s="15" t="str">
        <x:v>https://www.google.com/search?q=marvel%20tokon%20combo%20notation</x:v>
      </x:c>
    </x:row>
    <x:row r="162">
      <x:c r="A162" s="15" t="str">
        <x:v>MARVEL Tōkon: Fighting Souls</x:v>
      </x:c>
      <x:c r="B162" s="15" t="str">
        <x:v>marvel tokon defense guide</x:v>
      </x:c>
      <x:c r="C162" s="15" t="str">
        <x:v>机制/入门</x:v>
      </x:c>
      <x:c r="D162" s="15" t="str">
        <x:v>P1</x:v>
      </x:c>
      <x:c r="E162" s="15" t="str">
        <x:v>高（约65）</x:v>
      </x:c>
      <x:c r="F162" s="15" t="str">
        <x:v>机制说明页</x:v>
      </x:c>
      <x:c r="G162" s="15" t="str">
        <x:v>https://www.google.com/search?q=marvel%20tokon%20defense%20guide</x:v>
      </x:c>
    </x:row>
    <x:row r="163">
      <x:c r="A163" s="15" t="str">
        <x:v>MARVEL Tōkon: Fighting Souls</x:v>
      </x:c>
      <x:c r="B163" s="15" t="str">
        <x:v>marvel tokon assist guide</x:v>
      </x:c>
      <x:c r="C163" s="15" t="str">
        <x:v>机制/入门</x:v>
      </x:c>
      <x:c r="D163" s="15" t="str">
        <x:v>P1</x:v>
      </x:c>
      <x:c r="E163" s="15" t="str">
        <x:v>高（约65）</x:v>
      </x:c>
      <x:c r="F163" s="15" t="str">
        <x:v>机制说明页</x:v>
      </x:c>
      <x:c r="G163" s="15" t="str">
        <x:v>https://www.google.com/search?q=marvel%20tokon%20assist%20guide</x:v>
      </x:c>
    </x:row>
    <x:row r="164">
      <x:c r="A164" s="15" t="str">
        <x:v>MARVEL Tōkon: Fighting Souls</x:v>
      </x:c>
      <x:c r="B164" s="15" t="str">
        <x:v>marvel tokon best beginner character</x:v>
      </x:c>
      <x:c r="C164" s="15" t="str">
        <x:v>选择/优化</x:v>
      </x:c>
      <x:c r="D164" s="15" t="str">
        <x:v>P1</x:v>
      </x:c>
      <x:c r="E164" s="15" t="str">
        <x:v>高（约69）</x:v>
      </x:c>
      <x:c r="F164" s="15" t="str">
        <x:v>对比/构筑页</x:v>
      </x:c>
      <x:c r="G164" s="15" t="str">
        <x:v>https://www.google.com/search?q=marvel%20tokon%20best%20beginner%20character</x:v>
      </x:c>
    </x:row>
    <x:row r="165">
      <x:c r="A165" s="15" t="str">
        <x:v>MARVEL Tōkon: Fighting Souls</x:v>
      </x:c>
      <x:c r="B165" s="15" t="str">
        <x:v>marvel tokon crossplay</x:v>
      </x:c>
      <x:c r="C165" s="15" t="str">
        <x:v>机制/入门</x:v>
      </x:c>
      <x:c r="D165" s="15" t="str">
        <x:v>P3</x:v>
      </x:c>
      <x:c r="E165" s="15" t="str">
        <x:v>高（约65）</x:v>
      </x:c>
      <x:c r="F165" s="15" t="str">
        <x:v>机制说明页</x:v>
      </x:c>
      <x:c r="G165" s="15" t="str">
        <x:v>https://www.google.com/search?q=marvel%20tokon%20crossplay</x:v>
      </x:c>
    </x:row>
    <x:row r="166">
      <x:c r="A166" s="15" t="str">
        <x:v>MARVEL Tōkon: Fighting Souls</x:v>
      </x:c>
      <x:c r="B166" s="15" t="str">
        <x:v>marvel tokon controller settings</x:v>
      </x:c>
      <x:c r="C166" s="15" t="str">
        <x:v>故障/设置</x:v>
      </x:c>
      <x:c r="D166" s="15" t="str">
        <x:v>P2</x:v>
      </x:c>
      <x:c r="E166" s="15" t="str">
        <x:v>高（约65）</x:v>
      </x:c>
      <x:c r="F166" s="15" t="str">
        <x:v>FAQ/排错页</x:v>
      </x:c>
      <x:c r="G166" s="15" t="str">
        <x:v>https://www.google.com/search?q=marvel%20tokon%20controller%20settings</x:v>
      </x:c>
    </x:row>
    <x:row r="167">
      <x:c r="A167" s="15" t="str">
        <x:v>MARVEL Tōkon: Fighting Souls</x:v>
      </x:c>
      <x:c r="B167" s="15" t="str">
        <x:v>marvel tokon connection error</x:v>
      </x:c>
      <x:c r="C167" s="15" t="str">
        <x:v>故障/设置</x:v>
      </x:c>
      <x:c r="D167" s="15" t="str">
        <x:v>P2</x:v>
      </x:c>
      <x:c r="E167" s="15" t="str">
        <x:v>高（约65）</x:v>
      </x:c>
      <x:c r="F167" s="15" t="str">
        <x:v>FAQ/排错页</x:v>
      </x:c>
      <x:c r="G167" s="15" t="str">
        <x:v>https://www.google.com/search?q=marvel%20tokon%20connection%20error</x:v>
      </x:c>
    </x:row>
    <x:row r="168">
      <x:c r="A168" s="15" t="str">
        <x:v>MARVEL Tōkon: Fighting Souls</x:v>
      </x:c>
      <x:c r="B168" s="15" t="str">
        <x:v>marvel tokon trophies</x:v>
      </x:c>
      <x:c r="C168" s="15" t="str">
        <x:v>机制/入门</x:v>
      </x:c>
      <x:c r="D168" s="15" t="str">
        <x:v>P3</x:v>
      </x:c>
      <x:c r="E168" s="15" t="str">
        <x:v>高（约65）</x:v>
      </x:c>
      <x:c r="F168" s="15" t="str">
        <x:v>机制说明页</x:v>
      </x:c>
      <x:c r="G168" s="15" t="str">
        <x:v>https://www.google.com/search?q=marvel%20tokon%20trophies</x:v>
      </x:c>
    </x:row>
    <x:row r="169">
      <x:c r="A169" s="15" t="str">
        <x:v>ReStory: Chill Electronics Repairs</x:v>
      </x:c>
      <x:c r="B169" s="15" t="str">
        <x:v>restory chill electronics repairs beginner guide</x:v>
      </x:c>
      <x:c r="C169" s="15" t="str">
        <x:v>机制/入门</x:v>
      </x:c>
      <x:c r="D169" s="15" t="str">
        <x:v>P1</x:v>
      </x:c>
      <x:c r="E169" s="15" t="str">
        <x:v>低（约17）</x:v>
      </x:c>
      <x:c r="F169" s="15" t="str">
        <x:v>机制说明页</x:v>
      </x:c>
      <x:c r="G169" s="15" t="str">
        <x:v>https://www.google.com/search?q=restory%20chill%20electronics%20repairs%20beginner%20guide</x:v>
      </x:c>
    </x:row>
    <x:row r="170">
      <x:c r="A170" s="15" t="str">
        <x:v>ReStory: Chill Electronics Repairs</x:v>
      </x:c>
      <x:c r="B170" s="15" t="str">
        <x:v>restory repair guide</x:v>
      </x:c>
      <x:c r="C170" s="15" t="str">
        <x:v>机制/入门</x:v>
      </x:c>
      <x:c r="D170" s="15" t="str">
        <x:v>P1</x:v>
      </x:c>
      <x:c r="E170" s="15" t="str">
        <x:v>低（约13）</x:v>
      </x:c>
      <x:c r="F170" s="15" t="str">
        <x:v>机制说明页</x:v>
      </x:c>
      <x:c r="G170" s="15" t="str">
        <x:v>https://www.google.com/search?q=restory%20repair%20guide</x:v>
      </x:c>
    </x:row>
    <x:row r="171">
      <x:c r="A171" s="15" t="str">
        <x:v>ReStory: Chill Electronics Repairs</x:v>
      </x:c>
      <x:c r="B171" s="15" t="str">
        <x:v>restory console repair guide</x:v>
      </x:c>
      <x:c r="C171" s="15" t="str">
        <x:v>机制/入门</x:v>
      </x:c>
      <x:c r="D171" s="15" t="str">
        <x:v>P1</x:v>
      </x:c>
      <x:c r="E171" s="15" t="str">
        <x:v>低（约13）</x:v>
      </x:c>
      <x:c r="F171" s="15" t="str">
        <x:v>机制说明页</x:v>
      </x:c>
      <x:c r="G171" s="15" t="str">
        <x:v>https://www.google.com/search?q=restory%20console%20repair%20guide</x:v>
      </x:c>
    </x:row>
    <x:row r="172">
      <x:c r="A172" s="15" t="str">
        <x:v>ReStory: Chill Electronics Repairs</x:v>
      </x:c>
      <x:c r="B172" s="15" t="str">
        <x:v>restory phone repair guide</x:v>
      </x:c>
      <x:c r="C172" s="15" t="str">
        <x:v>机制/入门</x:v>
      </x:c>
      <x:c r="D172" s="15" t="str">
        <x:v>P1</x:v>
      </x:c>
      <x:c r="E172" s="15" t="str">
        <x:v>低（约13）</x:v>
      </x:c>
      <x:c r="F172" s="15" t="str">
        <x:v>机制说明页</x:v>
      </x:c>
      <x:c r="G172" s="15" t="str">
        <x:v>https://www.google.com/search?q=restory%20phone%20repair%20guide</x:v>
      </x:c>
    </x:row>
    <x:row r="173">
      <x:c r="A173" s="15" t="str">
        <x:v>ReStory: Chill Electronics Repairs</x:v>
      </x:c>
      <x:c r="B173" s="15" t="str">
        <x:v>restory music player repair</x:v>
      </x:c>
      <x:c r="C173" s="15" t="str">
        <x:v>机制/入门</x:v>
      </x:c>
      <x:c r="D173" s="15" t="str">
        <x:v>P3</x:v>
      </x:c>
      <x:c r="E173" s="15" t="str">
        <x:v>低（约13）</x:v>
      </x:c>
      <x:c r="F173" s="15" t="str">
        <x:v>机制说明页</x:v>
      </x:c>
      <x:c r="G173" s="15" t="str">
        <x:v>https://www.google.com/search?q=restory%20music%20player%20repair</x:v>
      </x:c>
    </x:row>
    <x:row r="174">
      <x:c r="A174" s="15" t="str">
        <x:v>ReStory: Chill Electronics Repairs</x:v>
      </x:c>
      <x:c r="B174" s="15" t="str">
        <x:v>restory diagnostic guide</x:v>
      </x:c>
      <x:c r="C174" s="15" t="str">
        <x:v>机制/入门</x:v>
      </x:c>
      <x:c r="D174" s="15" t="str">
        <x:v>P1</x:v>
      </x:c>
      <x:c r="E174" s="15" t="str">
        <x:v>低（约13）</x:v>
      </x:c>
      <x:c r="F174" s="15" t="str">
        <x:v>机制说明页</x:v>
      </x:c>
      <x:c r="G174" s="15" t="str">
        <x:v>https://www.google.com/search?q=restory%20diagnostic%20guide</x:v>
      </x:c>
    </x:row>
    <x:row r="175">
      <x:c r="A175" s="15" t="str">
        <x:v>ReStory: Chill Electronics Repairs</x:v>
      </x:c>
      <x:c r="B175" s="15" t="str">
        <x:v>restory tools guide</x:v>
      </x:c>
      <x:c r="C175" s="15" t="str">
        <x:v>机制/入门</x:v>
      </x:c>
      <x:c r="D175" s="15" t="str">
        <x:v>P1</x:v>
      </x:c>
      <x:c r="E175" s="15" t="str">
        <x:v>低（约13）</x:v>
      </x:c>
      <x:c r="F175" s="15" t="str">
        <x:v>机制说明页</x:v>
      </x:c>
      <x:c r="G175" s="15" t="str">
        <x:v>https://www.google.com/search?q=restory%20tools%20guide</x:v>
      </x:c>
    </x:row>
    <x:row r="176">
      <x:c r="A176" s="15" t="str">
        <x:v>ReStory: Chill Electronics Repairs</x:v>
      </x:c>
      <x:c r="B176" s="15" t="str">
        <x:v>restory parts locations</x:v>
      </x:c>
      <x:c r="C176" s="15" t="str">
        <x:v>流程/收集</x:v>
      </x:c>
      <x:c r="D176" s="15" t="str">
        <x:v>P2</x:v>
      </x:c>
      <x:c r="E176" s="15" t="str">
        <x:v>低（约8）</x:v>
      </x:c>
      <x:c r="F176" s="15" t="str">
        <x:v>分步骤攻略页</x:v>
      </x:c>
      <x:c r="G176" s="15" t="str">
        <x:v>https://www.google.com/search?q=restory%20parts%20locations</x:v>
      </x:c>
    </x:row>
    <x:row r="177">
      <x:c r="A177" s="15" t="str">
        <x:v>ReStory: Chill Electronics Repairs</x:v>
      </x:c>
      <x:c r="B177" s="15" t="str">
        <x:v>restory customer choices</x:v>
      </x:c>
      <x:c r="C177" s="15" t="str">
        <x:v>机制/入门</x:v>
      </x:c>
      <x:c r="D177" s="15" t="str">
        <x:v>P3</x:v>
      </x:c>
      <x:c r="E177" s="15" t="str">
        <x:v>低（约8）</x:v>
      </x:c>
      <x:c r="F177" s="15" t="str">
        <x:v>机制说明页</x:v>
      </x:c>
      <x:c r="G177" s="15" t="str">
        <x:v>https://www.google.com/search?q=restory%20customer%20choices</x:v>
      </x:c>
    </x:row>
    <x:row r="178">
      <x:c r="A178" s="15" t="str">
        <x:v>ReStory: Chill Electronics Repairs</x:v>
      </x:c>
      <x:c r="B178" s="15" t="str">
        <x:v>restory best shop upgrades</x:v>
      </x:c>
      <x:c r="C178" s="15" t="str">
        <x:v>选择/优化</x:v>
      </x:c>
      <x:c r="D178" s="15" t="str">
        <x:v>P3</x:v>
      </x:c>
      <x:c r="E178" s="15" t="str">
        <x:v>低（约13）</x:v>
      </x:c>
      <x:c r="F178" s="15" t="str">
        <x:v>对比/构筑页</x:v>
      </x:c>
      <x:c r="G178" s="15" t="str">
        <x:v>https://www.google.com/search?q=restory%20best%20shop%20upgrades</x:v>
      </x:c>
    </x:row>
    <x:row r="179">
      <x:c r="A179" s="15" t="str">
        <x:v>ReStory: Chill Electronics Repairs</x:v>
      </x:c>
      <x:c r="B179" s="15" t="str">
        <x:v>restory how to make money</x:v>
      </x:c>
      <x:c r="C179" s="15" t="str">
        <x:v>机制/入门</x:v>
      </x:c>
      <x:c r="D179" s="15" t="str">
        <x:v>P3</x:v>
      </x:c>
      <x:c r="E179" s="15" t="str">
        <x:v>低（约13）</x:v>
      </x:c>
      <x:c r="F179" s="15" t="str">
        <x:v>机制说明页</x:v>
      </x:c>
      <x:c r="G179" s="15" t="str">
        <x:v>https://www.google.com/search?q=restory%20how%20to%20make%20money</x:v>
      </x:c>
    </x:row>
    <x:row r="180">
      <x:c r="A180" s="15" t="str">
        <x:v>ReStory: Chill Electronics Repairs</x:v>
      </x:c>
      <x:c r="B180" s="15" t="str">
        <x:v>restory inventory guide</x:v>
      </x:c>
      <x:c r="C180" s="15" t="str">
        <x:v>机制/入门</x:v>
      </x:c>
      <x:c r="D180" s="15" t="str">
        <x:v>P1</x:v>
      </x:c>
      <x:c r="E180" s="15" t="str">
        <x:v>低（约13）</x:v>
      </x:c>
      <x:c r="F180" s="15" t="str">
        <x:v>机制说明页</x:v>
      </x:c>
      <x:c r="G180" s="15" t="str">
        <x:v>https://www.google.com/search?q=restory%20inventory%20guide</x:v>
      </x:c>
    </x:row>
    <x:row r="181">
      <x:c r="A181" s="15" t="str">
        <x:v>ReStory: Chill Electronics Repairs</x:v>
      </x:c>
      <x:c r="B181" s="15" t="str">
        <x:v>restory all endings</x:v>
      </x:c>
      <x:c r="C181" s="15" t="str">
        <x:v>流程/收集</x:v>
      </x:c>
      <x:c r="D181" s="15" t="str">
        <x:v>P1</x:v>
      </x:c>
      <x:c r="E181" s="15" t="str">
        <x:v>低（约17）</x:v>
      </x:c>
      <x:c r="F181" s="15" t="str">
        <x:v>分步骤攻略页</x:v>
      </x:c>
      <x:c r="G181" s="15" t="str">
        <x:v>https://www.google.com/search?q=restory%20all%20endings</x:v>
      </x:c>
    </x:row>
    <x:row r="182">
      <x:c r="A182" s="15" t="str">
        <x:v>ReStory: Chill Electronics Repairs</x:v>
      </x:c>
      <x:c r="B182" s="15" t="str">
        <x:v>restory achievements</x:v>
      </x:c>
      <x:c r="C182" s="15" t="str">
        <x:v>流程/收集</x:v>
      </x:c>
      <x:c r="D182" s="15" t="str">
        <x:v>P2</x:v>
      </x:c>
      <x:c r="E182" s="15" t="str">
        <x:v>低（约13）</x:v>
      </x:c>
      <x:c r="F182" s="15" t="str">
        <x:v>分步骤攻略页</x:v>
      </x:c>
      <x:c r="G182" s="15" t="str">
        <x:v>https://www.google.com/search?q=restory%20achievements</x:v>
      </x:c>
    </x:row>
    <x:row r="183">
      <x:c r="A183" s="15" t="str">
        <x:v>ReStory: Chill Electronics Repairs</x:v>
      </x:c>
      <x:c r="B183" s="15" t="str">
        <x:v>restory customer stories</x:v>
      </x:c>
      <x:c r="C183" s="15" t="str">
        <x:v>机制/入门</x:v>
      </x:c>
      <x:c r="D183" s="15" t="str">
        <x:v>P3</x:v>
      </x:c>
      <x:c r="E183" s="15" t="str">
        <x:v>低（约8）</x:v>
      </x:c>
      <x:c r="F183" s="15" t="str">
        <x:v>机制说明页</x:v>
      </x:c>
      <x:c r="G183" s="15" t="str">
        <x:v>https://www.google.com/search?q=restory%20customer%20stories</x:v>
      </x:c>
    </x:row>
    <x:row r="184">
      <x:c r="A184" s="15" t="str">
        <x:v>ReStory: Chill Electronics Repairs</x:v>
      </x:c>
      <x:c r="B184" s="15" t="str">
        <x:v>restory repair order</x:v>
      </x:c>
      <x:c r="C184" s="15" t="str">
        <x:v>机制/入门</x:v>
      </x:c>
      <x:c r="D184" s="15" t="str">
        <x:v>P3</x:v>
      </x:c>
      <x:c r="E184" s="15" t="str">
        <x:v>低（约13）</x:v>
      </x:c>
      <x:c r="F184" s="15" t="str">
        <x:v>机制说明页</x:v>
      </x:c>
      <x:c r="G184" s="15" t="str">
        <x:v>https://www.google.com/search?q=restory%20repair%20order</x:v>
      </x:c>
    </x:row>
    <x:row r="185">
      <x:c r="A185" s="15" t="str">
        <x:v>ReStory: Chill Electronics Repairs</x:v>
      </x:c>
      <x:c r="B185" s="15" t="str">
        <x:v>restory rare parts</x:v>
      </x:c>
      <x:c r="C185" s="15" t="str">
        <x:v>机制/入门</x:v>
      </x:c>
      <x:c r="D185" s="15" t="str">
        <x:v>P3</x:v>
      </x:c>
      <x:c r="E185" s="15" t="str">
        <x:v>低（约13）</x:v>
      </x:c>
      <x:c r="F185" s="15" t="str">
        <x:v>机制说明页</x:v>
      </x:c>
      <x:c r="G185" s="15" t="str">
        <x:v>https://www.google.com/search?q=restory%20rare%20parts</x:v>
      </x:c>
    </x:row>
    <x:row r="186">
      <x:c r="A186" s="15" t="str">
        <x:v>ReStory: Chill Electronics Repairs</x:v>
      </x:c>
      <x:c r="B186" s="15" t="str">
        <x:v>restory shop layout</x:v>
      </x:c>
      <x:c r="C186" s="15" t="str">
        <x:v>选择/优化</x:v>
      </x:c>
      <x:c r="D186" s="15" t="str">
        <x:v>P3</x:v>
      </x:c>
      <x:c r="E186" s="15" t="str">
        <x:v>低（约13）</x:v>
      </x:c>
      <x:c r="F186" s="15" t="str">
        <x:v>对比/构筑页</x:v>
      </x:c>
      <x:c r="G186" s="15" t="str">
        <x:v>https://www.google.com/search?q=restory%20shop%20layout</x:v>
      </x:c>
    </x:row>
    <x:row r="187">
      <x:c r="A187" s="15" t="str">
        <x:v>ReStory: Chill Electronics Repairs</x:v>
      </x:c>
      <x:c r="B187" s="15" t="str">
        <x:v>restory save location</x:v>
      </x:c>
      <x:c r="C187" s="15" t="str">
        <x:v>故障/设置</x:v>
      </x:c>
      <x:c r="D187" s="15" t="str">
        <x:v>P2</x:v>
      </x:c>
      <x:c r="E187" s="15" t="str">
        <x:v>低（约8）</x:v>
      </x:c>
      <x:c r="F187" s="15" t="str">
        <x:v>FAQ/排错页</x:v>
      </x:c>
      <x:c r="G187" s="15" t="str">
        <x:v>https://www.google.com/search?q=restory%20save%20location</x:v>
      </x:c>
    </x:row>
    <x:row r="188">
      <x:c r="A188" s="15" t="str">
        <x:v>ReStory: Chill Electronics Repairs</x:v>
      </x:c>
      <x:c r="B188" s="15" t="str">
        <x:v>restory controller support</x:v>
      </x:c>
      <x:c r="C188" s="15" t="str">
        <x:v>故障/设置</x:v>
      </x:c>
      <x:c r="D188" s="15" t="str">
        <x:v>P3</x:v>
      </x:c>
      <x:c r="E188" s="15" t="str">
        <x:v>低（约13）</x:v>
      </x:c>
      <x:c r="F188" s="15" t="str">
        <x:v>FAQ/排错页</x:v>
      </x:c>
      <x:c r="G188" s="15" t="str">
        <x:v>https://www.google.com/search?q=restory%20controller%20support</x:v>
      </x:c>
    </x:row>
    <x:row r="189">
      <x:c r="A189" s="15" t="str">
        <x:v>IRON NEST: Heavy Turret Simulator</x:v>
      </x:c>
      <x:c r="B189" s="15" t="str">
        <x:v>iron nest beginner guide</x:v>
      </x:c>
      <x:c r="C189" s="15" t="str">
        <x:v>机制/入门</x:v>
      </x:c>
      <x:c r="D189" s="15" t="str">
        <x:v>P1</x:v>
      </x:c>
      <x:c r="E189" s="15" t="str">
        <x:v>中（约33）</x:v>
      </x:c>
      <x:c r="F189" s="15" t="str">
        <x:v>机制说明页</x:v>
      </x:c>
      <x:c r="G189" s="15" t="str">
        <x:v>https://www.google.com/search?q=iron%20nest%20beginner%20guide</x:v>
      </x:c>
    </x:row>
    <x:row r="190">
      <x:c r="A190" s="15" t="str">
        <x:v>IRON NEST: Heavy Turret Simulator</x:v>
      </x:c>
      <x:c r="B190" s="15" t="str">
        <x:v>iron nest map guide</x:v>
      </x:c>
      <x:c r="C190" s="15" t="str">
        <x:v>流程/收集</x:v>
      </x:c>
      <x:c r="D190" s="15" t="str">
        <x:v>P1</x:v>
      </x:c>
      <x:c r="E190" s="15" t="str">
        <x:v>低（约29）</x:v>
      </x:c>
      <x:c r="F190" s="15" t="str">
        <x:v>分步骤攻略页</x:v>
      </x:c>
      <x:c r="G190" s="15" t="str">
        <x:v>https://www.google.com/search?q=iron%20nest%20map%20guide</x:v>
      </x:c>
    </x:row>
    <x:row r="191">
      <x:c r="A191" s="15" t="str">
        <x:v>IRON NEST: Heavy Turret Simulator</x:v>
      </x:c>
      <x:c r="B191" s="15" t="str">
        <x:v>iron nest measurements guide</x:v>
      </x:c>
      <x:c r="C191" s="15" t="str">
        <x:v>机制/入门</x:v>
      </x:c>
      <x:c r="D191" s="15" t="str">
        <x:v>P1</x:v>
      </x:c>
      <x:c r="E191" s="15" t="str">
        <x:v>低（约29）</x:v>
      </x:c>
      <x:c r="F191" s="15" t="str">
        <x:v>机制说明页</x:v>
      </x:c>
      <x:c r="G191" s="15" t="str">
        <x:v>https://www.google.com/search?q=iron%20nest%20measurements%20guide</x:v>
      </x:c>
    </x:row>
    <x:row r="192">
      <x:c r="A192" s="15" t="str">
        <x:v>IRON NEST: Heavy Turret Simulator</x:v>
      </x:c>
      <x:c r="B192" s="15" t="str">
        <x:v>iron nest target coordinates</x:v>
      </x:c>
      <x:c r="C192" s="15" t="str">
        <x:v>流程/收集</x:v>
      </x:c>
      <x:c r="D192" s="15" t="str">
        <x:v>P3</x:v>
      </x:c>
      <x:c r="E192" s="15" t="str">
        <x:v>低（约29）</x:v>
      </x:c>
      <x:c r="F192" s="15" t="str">
        <x:v>分步骤攻略页</x:v>
      </x:c>
      <x:c r="G192" s="15" t="str">
        <x:v>https://www.google.com/search?q=iron%20nest%20target%20coordinates</x:v>
      </x:c>
    </x:row>
    <x:row r="193">
      <x:c r="A193" s="15" t="str">
        <x:v>IRON NEST: Heavy Turret Simulator</x:v>
      </x:c>
      <x:c r="B193" s="15" t="str">
        <x:v>iron nest triangulation guide</x:v>
      </x:c>
      <x:c r="C193" s="15" t="str">
        <x:v>机制/入门</x:v>
      </x:c>
      <x:c r="D193" s="15" t="str">
        <x:v>P1</x:v>
      </x:c>
      <x:c r="E193" s="15" t="str">
        <x:v>低（约29）</x:v>
      </x:c>
      <x:c r="F193" s="15" t="str">
        <x:v>机制说明页</x:v>
      </x:c>
      <x:c r="G193" s="15" t="str">
        <x:v>https://www.google.com/search?q=iron%20nest%20triangulation%20guide</x:v>
      </x:c>
    </x:row>
    <x:row r="194">
      <x:c r="A194" s="15" t="str">
        <x:v>IRON NEST: Heavy Turret Simulator</x:v>
      </x:c>
      <x:c r="B194" s="15" t="str">
        <x:v>iron nest ballistic calculator</x:v>
      </x:c>
      <x:c r="C194" s="15" t="str">
        <x:v>机制/入门</x:v>
      </x:c>
      <x:c r="D194" s="15" t="str">
        <x:v>P3</x:v>
      </x:c>
      <x:c r="E194" s="15" t="str">
        <x:v>低（约29）</x:v>
      </x:c>
      <x:c r="F194" s="15" t="str">
        <x:v>机制说明页</x:v>
      </x:c>
      <x:c r="G194" s="15" t="str">
        <x:v>https://www.google.com/search?q=iron%20nest%20ballistic%20calculator</x:v>
      </x:c>
    </x:row>
    <x:row r="195">
      <x:c r="A195" s="15" t="str">
        <x:v>IRON NEST: Heavy Turret Simulator</x:v>
      </x:c>
      <x:c r="B195" s="15" t="str">
        <x:v>iron nest shell types</x:v>
      </x:c>
      <x:c r="C195" s="15" t="str">
        <x:v>机制/入门</x:v>
      </x:c>
      <x:c r="D195" s="15" t="str">
        <x:v>P3</x:v>
      </x:c>
      <x:c r="E195" s="15" t="str">
        <x:v>低（约29）</x:v>
      </x:c>
      <x:c r="F195" s="15" t="str">
        <x:v>机制说明页</x:v>
      </x:c>
      <x:c r="G195" s="15" t="str">
        <x:v>https://www.google.com/search?q=iron%20nest%20shell%20types</x:v>
      </x:c>
    </x:row>
    <x:row r="196">
      <x:c r="A196" s="15" t="str">
        <x:v>IRON NEST: Heavy Turret Simulator</x:v>
      </x:c>
      <x:c r="B196" s="15" t="str">
        <x:v>iron nest powder charges</x:v>
      </x:c>
      <x:c r="C196" s="15" t="str">
        <x:v>机制/入门</x:v>
      </x:c>
      <x:c r="D196" s="15" t="str">
        <x:v>P3</x:v>
      </x:c>
      <x:c r="E196" s="15" t="str">
        <x:v>低（约24）</x:v>
      </x:c>
      <x:c r="F196" s="15" t="str">
        <x:v>机制说明页</x:v>
      </x:c>
      <x:c r="G196" s="15" t="str">
        <x:v>https://www.google.com/search?q=iron%20nest%20powder%20charges</x:v>
      </x:c>
    </x:row>
    <x:row r="197">
      <x:c r="A197" s="15" t="str">
        <x:v>IRON NEST: Heavy Turret Simulator</x:v>
      </x:c>
      <x:c r="B197" s="15" t="str">
        <x:v>iron nest elevation guide</x:v>
      </x:c>
      <x:c r="C197" s="15" t="str">
        <x:v>机制/入门</x:v>
      </x:c>
      <x:c r="D197" s="15" t="str">
        <x:v>P1</x:v>
      </x:c>
      <x:c r="E197" s="15" t="str">
        <x:v>低（约29）</x:v>
      </x:c>
      <x:c r="F197" s="15" t="str">
        <x:v>机制说明页</x:v>
      </x:c>
      <x:c r="G197" s="15" t="str">
        <x:v>https://www.google.com/search?q=iron%20nest%20elevation%20guide</x:v>
      </x:c>
    </x:row>
    <x:row r="198">
      <x:c r="A198" s="15" t="str">
        <x:v>IRON NEST: Heavy Turret Simulator</x:v>
      </x:c>
      <x:c r="B198" s="15" t="str">
        <x:v>iron nest bearing guide</x:v>
      </x:c>
      <x:c r="C198" s="15" t="str">
        <x:v>机制/入门</x:v>
      </x:c>
      <x:c r="D198" s="15" t="str">
        <x:v>P1</x:v>
      </x:c>
      <x:c r="E198" s="15" t="str">
        <x:v>低（约29）</x:v>
      </x:c>
      <x:c r="F198" s="15" t="str">
        <x:v>机制说明页</x:v>
      </x:c>
      <x:c r="G198" s="15" t="str">
        <x:v>https://www.google.com/search?q=iron%20nest%20bearing%20guide</x:v>
      </x:c>
    </x:row>
    <x:row r="199">
      <x:c r="A199" s="15" t="str">
        <x:v>IRON NEST: Heavy Turret Simulator</x:v>
      </x:c>
      <x:c r="B199" s="15" t="str">
        <x:v>iron nest teleprinter guide</x:v>
      </x:c>
      <x:c r="C199" s="15" t="str">
        <x:v>机制/入门</x:v>
      </x:c>
      <x:c r="D199" s="15" t="str">
        <x:v>P1</x:v>
      </x:c>
      <x:c r="E199" s="15" t="str">
        <x:v>低（约24）</x:v>
      </x:c>
      <x:c r="F199" s="15" t="str">
        <x:v>机制说明页</x:v>
      </x:c>
      <x:c r="G199" s="15" t="str">
        <x:v>https://www.google.com/search?q=iron%20nest%20teleprinter%20guide</x:v>
      </x:c>
    </x:row>
    <x:row r="200">
      <x:c r="A200" s="15" t="str">
        <x:v>IRON NEST: Heavy Turret Simulator</x:v>
      </x:c>
      <x:c r="B200" s="15" t="str">
        <x:v>iron nest spotter reports</x:v>
      </x:c>
      <x:c r="C200" s="15" t="str">
        <x:v>机制/入门</x:v>
      </x:c>
      <x:c r="D200" s="15" t="str">
        <x:v>P3</x:v>
      </x:c>
      <x:c r="E200" s="15" t="str">
        <x:v>低（约29）</x:v>
      </x:c>
      <x:c r="F200" s="15" t="str">
        <x:v>机制说明页</x:v>
      </x:c>
      <x:c r="G200" s="15" t="str">
        <x:v>https://www.google.com/search?q=iron%20nest%20spotter%20reports</x:v>
      </x:c>
    </x:row>
    <x:row r="201">
      <x:c r="A201" s="15" t="str">
        <x:v>IRON NEST: Heavy Turret Simulator</x:v>
      </x:c>
      <x:c r="B201" s="15" t="str">
        <x:v>iron nest star shell guide</x:v>
      </x:c>
      <x:c r="C201" s="15" t="str">
        <x:v>机制/入门</x:v>
      </x:c>
      <x:c r="D201" s="15" t="str">
        <x:v>P1</x:v>
      </x:c>
      <x:c r="E201" s="15" t="str">
        <x:v>低（约29）</x:v>
      </x:c>
      <x:c r="F201" s="15" t="str">
        <x:v>机制说明页</x:v>
      </x:c>
      <x:c r="G201" s="15" t="str">
        <x:v>https://www.google.com/search?q=iron%20nest%20star%20shell%20guide</x:v>
      </x:c>
    </x:row>
    <x:row r="202">
      <x:c r="A202" s="15" t="str">
        <x:v>IRON NEST: Heavy Turret Simulator</x:v>
      </x:c>
      <x:c r="B202" s="15" t="str">
        <x:v>iron nest calibration fire</x:v>
      </x:c>
      <x:c r="C202" s="15" t="str">
        <x:v>机制/入门</x:v>
      </x:c>
      <x:c r="D202" s="15" t="str">
        <x:v>P3</x:v>
      </x:c>
      <x:c r="E202" s="15" t="str">
        <x:v>低（约29）</x:v>
      </x:c>
      <x:c r="F202" s="15" t="str">
        <x:v>机制说明页</x:v>
      </x:c>
      <x:c r="G202" s="15" t="str">
        <x:v>https://www.google.com/search?q=iron%20nest%20calibration%20fire</x:v>
      </x:c>
    </x:row>
    <x:row r="203">
      <x:c r="A203" s="15" t="str">
        <x:v>IRON NEST: Heavy Turret Simulator</x:v>
      </x:c>
      <x:c r="B203" s="15" t="str">
        <x:v>iron nest requisition guide</x:v>
      </x:c>
      <x:c r="C203" s="15" t="str">
        <x:v>机制/入门</x:v>
      </x:c>
      <x:c r="D203" s="15" t="str">
        <x:v>P1</x:v>
      </x:c>
      <x:c r="E203" s="15" t="str">
        <x:v>低（约29）</x:v>
      </x:c>
      <x:c r="F203" s="15" t="str">
        <x:v>机制说明页</x:v>
      </x:c>
      <x:c r="G203" s="15" t="str">
        <x:v>https://www.google.com/search?q=iron%20nest%20requisition%20guide</x:v>
      </x:c>
    </x:row>
    <x:row r="204">
      <x:c r="A204" s="15" t="str">
        <x:v>IRON NEST: Heavy Turret Simulator</x:v>
      </x:c>
      <x:c r="B204" s="15" t="str">
        <x:v>iron nest challenge mode</x:v>
      </x:c>
      <x:c r="C204" s="15" t="str">
        <x:v>机制/入门</x:v>
      </x:c>
      <x:c r="D204" s="15" t="str">
        <x:v>P3</x:v>
      </x:c>
      <x:c r="E204" s="15" t="str">
        <x:v>低（约29）</x:v>
      </x:c>
      <x:c r="F204" s="15" t="str">
        <x:v>机制说明页</x:v>
      </x:c>
      <x:c r="G204" s="15" t="str">
        <x:v>https://www.google.com/search?q=iron%20nest%20challenge%20mode</x:v>
      </x:c>
    </x:row>
    <x:row r="205">
      <x:c r="A205" s="15" t="str">
        <x:v>IRON NEST: Heavy Turret Simulator</x:v>
      </x:c>
      <x:c r="B205" s="15" t="str">
        <x:v>iron nest campaign walkthrough</x:v>
      </x:c>
      <x:c r="C205" s="15" t="str">
        <x:v>流程/收集</x:v>
      </x:c>
      <x:c r="D205" s="15" t="str">
        <x:v>P1</x:v>
      </x:c>
      <x:c r="E205" s="15" t="str">
        <x:v>中（约33）</x:v>
      </x:c>
      <x:c r="F205" s="15" t="str">
        <x:v>分步骤攻略页</x:v>
      </x:c>
      <x:c r="G205" s="15" t="str">
        <x:v>https://www.google.com/search?q=iron%20nest%20campaign%20walkthrough</x:v>
      </x:c>
    </x:row>
    <x:row r="206">
      <x:c r="A206" s="15" t="str">
        <x:v>IRON NEST: Heavy Turret Simulator</x:v>
      </x:c>
      <x:c r="B206" s="15" t="str">
        <x:v>iron nest firing solution</x:v>
      </x:c>
      <x:c r="C206" s="15" t="str">
        <x:v>机制/入门</x:v>
      </x:c>
      <x:c r="D206" s="15" t="str">
        <x:v>P3</x:v>
      </x:c>
      <x:c r="E206" s="15" t="str">
        <x:v>低（约29）</x:v>
      </x:c>
      <x:c r="F206" s="15" t="str">
        <x:v>机制说明页</x:v>
      </x:c>
      <x:c r="G206" s="15" t="str">
        <x:v>https://www.google.com/search?q=iron%20nest%20firing%20solution</x:v>
      </x:c>
    </x:row>
    <x:row r="207">
      <x:c r="A207" s="15" t="str">
        <x:v>IRON NEST: Heavy Turret Simulator</x:v>
      </x:c>
      <x:c r="B207" s="15" t="str">
        <x:v>iron nest counter battery guide</x:v>
      </x:c>
      <x:c r="C207" s="15" t="str">
        <x:v>机制/入门</x:v>
      </x:c>
      <x:c r="D207" s="15" t="str">
        <x:v>P1</x:v>
      </x:c>
      <x:c r="E207" s="15" t="str">
        <x:v>低（约29）</x:v>
      </x:c>
      <x:c r="F207" s="15" t="str">
        <x:v>机制说明页</x:v>
      </x:c>
      <x:c r="G207" s="15" t="str">
        <x:v>https://www.google.com/search?q=iron%20nest%20counter%20battery%20guide</x:v>
      </x:c>
    </x:row>
    <x:row r="208">
      <x:c r="A208" s="15" t="str">
        <x:v>IRON NEST: Heavy Turret Simulator</x:v>
      </x:c>
      <x:c r="B208" s="15" t="str">
        <x:v>iron nest map tools</x:v>
      </x:c>
      <x:c r="C208" s="15" t="str">
        <x:v>流程/收集</x:v>
      </x:c>
      <x:c r="D208" s="15" t="str">
        <x:v>P2</x:v>
      </x:c>
      <x:c r="E208" s="15" t="str">
        <x:v>低（约29）</x:v>
      </x:c>
      <x:c r="F208" s="15" t="str">
        <x:v>分步骤攻略页</x:v>
      </x:c>
      <x:c r="G208" s="15" t="str">
        <x:v>https://www.google.com/search?q=iron%20nest%20map%20tools</x:v>
      </x:c>
    </x:row>
    <x:row r="209">
      <x:c r="A209" s="15" t="str">
        <x:v>IRON NEST: Heavy Turret Simulator</x:v>
      </x:c>
      <x:c r="B209" s="15" t="str">
        <x:v>iron nest first mission</x:v>
      </x:c>
      <x:c r="C209" s="15" t="str">
        <x:v>流程/收集</x:v>
      </x:c>
      <x:c r="D209" s="15" t="str">
        <x:v>P3</x:v>
      </x:c>
      <x:c r="E209" s="15" t="str">
        <x:v>低（约24）</x:v>
      </x:c>
      <x:c r="F209" s="15" t="str">
        <x:v>分步骤攻略页</x:v>
      </x:c>
      <x:c r="G209" s="15" t="str">
        <x:v>https://www.google.com/search?q=iron%20nest%20first%20mission</x:v>
      </x:c>
    </x:row>
    <x:row r="210">
      <x:c r="A210" s="15" t="str">
        <x:v>IRON NEST: Heavy Turret Simulator</x:v>
      </x:c>
      <x:c r="B210" s="15" t="str">
        <x:v>iron nest exact position</x:v>
      </x:c>
      <x:c r="C210" s="15" t="str">
        <x:v>机制/入门</x:v>
      </x:c>
      <x:c r="D210" s="15" t="str">
        <x:v>P3</x:v>
      </x:c>
      <x:c r="E210" s="15" t="str">
        <x:v>低（约29）</x:v>
      </x:c>
      <x:c r="F210" s="15" t="str">
        <x:v>机制说明页</x:v>
      </x:c>
      <x:c r="G210" s="15" t="str">
        <x:v>https://www.google.com/search?q=iron%20nest%20exact%20position</x:v>
      </x:c>
    </x:row>
    <x:row r="211">
      <x:c r="A211" s="15" t="str">
        <x:v>Pax Autocratica</x:v>
      </x:c>
      <x:c r="B211" s="15" t="str">
        <x:v>pax autocratica beginner guide</x:v>
      </x:c>
      <x:c r="C211" s="15" t="str">
        <x:v>机制/入门</x:v>
      </x:c>
      <x:c r="D211" s="15" t="str">
        <x:v>P1</x:v>
      </x:c>
      <x:c r="E211" s="15" t="str">
        <x:v>低（约26）</x:v>
      </x:c>
      <x:c r="F211" s="15" t="str">
        <x:v>机制说明页</x:v>
      </x:c>
      <x:c r="G211" s="15" t="str">
        <x:v>https://www.google.com/search?q=pax%20autocratica%20beginner%20guide</x:v>
      </x:c>
    </x:row>
    <x:row r="212">
      <x:c r="A212" s="15" t="str">
        <x:v>Pax Autocratica</x:v>
      </x:c>
      <x:c r="B212" s="15" t="str">
        <x:v>pax autocratica base layout</x:v>
      </x:c>
      <x:c r="C212" s="15" t="str">
        <x:v>选择/优化</x:v>
      </x:c>
      <x:c r="D212" s="15" t="str">
        <x:v>P3</x:v>
      </x:c>
      <x:c r="E212" s="15" t="str">
        <x:v>低（约22）</x:v>
      </x:c>
      <x:c r="F212" s="15" t="str">
        <x:v>对比/构筑页</x:v>
      </x:c>
      <x:c r="G212" s="15" t="str">
        <x:v>https://www.google.com/search?q=pax%20autocratica%20base%20layout</x:v>
      </x:c>
    </x:row>
    <x:row r="213">
      <x:c r="A213" s="15" t="str">
        <x:v>Pax Autocratica</x:v>
      </x:c>
      <x:c r="B213" s="15" t="str">
        <x:v>pax autocratica jobs guide</x:v>
      </x:c>
      <x:c r="C213" s="15" t="str">
        <x:v>机制/入门</x:v>
      </x:c>
      <x:c r="D213" s="15" t="str">
        <x:v>P1</x:v>
      </x:c>
      <x:c r="E213" s="15" t="str">
        <x:v>低（约22）</x:v>
      </x:c>
      <x:c r="F213" s="15" t="str">
        <x:v>机制说明页</x:v>
      </x:c>
      <x:c r="G213" s="15" t="str">
        <x:v>https://www.google.com/search?q=pax%20autocratica%20jobs%20guide</x:v>
      </x:c>
    </x:row>
    <x:row r="214">
      <x:c r="A214" s="15" t="str">
        <x:v>Pax Autocratica</x:v>
      </x:c>
      <x:c r="B214" s="15" t="str">
        <x:v>pax autocratica production guide</x:v>
      </x:c>
      <x:c r="C214" s="15" t="str">
        <x:v>机制/入门</x:v>
      </x:c>
      <x:c r="D214" s="15" t="str">
        <x:v>P1</x:v>
      </x:c>
      <x:c r="E214" s="15" t="str">
        <x:v>低（约22）</x:v>
      </x:c>
      <x:c r="F214" s="15" t="str">
        <x:v>机制说明页</x:v>
      </x:c>
      <x:c r="G214" s="15" t="str">
        <x:v>https://www.google.com/search?q=pax%20autocratica%20production%20guide</x:v>
      </x:c>
    </x:row>
    <x:row r="215">
      <x:c r="A215" s="15" t="str">
        <x:v>Pax Autocratica</x:v>
      </x:c>
      <x:c r="B215" s="15" t="str">
        <x:v>pax autocratica citizen loyalty</x:v>
      </x:c>
      <x:c r="C215" s="15" t="str">
        <x:v>机制/入门</x:v>
      </x:c>
      <x:c r="D215" s="15" t="str">
        <x:v>P3</x:v>
      </x:c>
      <x:c r="E215" s="15" t="str">
        <x:v>低（约22）</x:v>
      </x:c>
      <x:c r="F215" s="15" t="str">
        <x:v>机制说明页</x:v>
      </x:c>
      <x:c r="G215" s="15" t="str">
        <x:v>https://www.google.com/search?q=pax%20autocratica%20citizen%20loyalty</x:v>
      </x:c>
    </x:row>
    <x:row r="216">
      <x:c r="A216" s="15" t="str">
        <x:v>Pax Autocratica</x:v>
      </x:c>
      <x:c r="B216" s="15" t="str">
        <x:v>pax autocratica fear guide</x:v>
      </x:c>
      <x:c r="C216" s="15" t="str">
        <x:v>机制/入门</x:v>
      </x:c>
      <x:c r="D216" s="15" t="str">
        <x:v>P1</x:v>
      </x:c>
      <x:c r="E216" s="15" t="str">
        <x:v>低（约22）</x:v>
      </x:c>
      <x:c r="F216" s="15" t="str">
        <x:v>机制说明页</x:v>
      </x:c>
      <x:c r="G216" s="15" t="str">
        <x:v>https://www.google.com/search?q=pax%20autocratica%20fear%20guide</x:v>
      </x:c>
    </x:row>
    <x:row r="217">
      <x:c r="A217" s="15" t="str">
        <x:v>Pax Autocratica</x:v>
      </x:c>
      <x:c r="B217" s="15" t="str">
        <x:v>pax autocratica rebellion guide</x:v>
      </x:c>
      <x:c r="C217" s="15" t="str">
        <x:v>机制/入门</x:v>
      </x:c>
      <x:c r="D217" s="15" t="str">
        <x:v>P1</x:v>
      </x:c>
      <x:c r="E217" s="15" t="str">
        <x:v>低（约22）</x:v>
      </x:c>
      <x:c r="F217" s="15" t="str">
        <x:v>机制说明页</x:v>
      </x:c>
      <x:c r="G217" s="15" t="str">
        <x:v>https://www.google.com/search?q=pax%20autocratica%20rebellion%20guide</x:v>
      </x:c>
    </x:row>
    <x:row r="218">
      <x:c r="A218" s="15" t="str">
        <x:v>Pax Autocratica</x:v>
      </x:c>
      <x:c r="B218" s="15" t="str">
        <x:v>pax autocratica propaganda guide</x:v>
      </x:c>
      <x:c r="C218" s="15" t="str">
        <x:v>机制/入门</x:v>
      </x:c>
      <x:c r="D218" s="15" t="str">
        <x:v>P1</x:v>
      </x:c>
      <x:c r="E218" s="15" t="str">
        <x:v>低（约22）</x:v>
      </x:c>
      <x:c r="F218" s="15" t="str">
        <x:v>机制说明页</x:v>
      </x:c>
      <x:c r="G218" s="15" t="str">
        <x:v>https://www.google.com/search?q=pax%20autocratica%20propaganda%20guide</x:v>
      </x:c>
    </x:row>
    <x:row r="219">
      <x:c r="A219" s="15" t="str">
        <x:v>Pax Autocratica</x:v>
      </x:c>
      <x:c r="B219" s="15" t="str">
        <x:v>pax autocratica prisoners guide</x:v>
      </x:c>
      <x:c r="C219" s="15" t="str">
        <x:v>机制/入门</x:v>
      </x:c>
      <x:c r="D219" s="15" t="str">
        <x:v>P1</x:v>
      </x:c>
      <x:c r="E219" s="15" t="str">
        <x:v>低（约22）</x:v>
      </x:c>
      <x:c r="F219" s="15" t="str">
        <x:v>机制说明页</x:v>
      </x:c>
      <x:c r="G219" s="15" t="str">
        <x:v>https://www.google.com/search?q=pax%20autocratica%20prisoners%20guide</x:v>
      </x:c>
    </x:row>
    <x:row r="220">
      <x:c r="A220" s="15" t="str">
        <x:v>Pax Autocratica</x:v>
      </x:c>
      <x:c r="B220" s="15" t="str">
        <x:v>pax autocratica conversion guide</x:v>
      </x:c>
      <x:c r="C220" s="15" t="str">
        <x:v>机制/入门</x:v>
      </x:c>
      <x:c r="D220" s="15" t="str">
        <x:v>P1</x:v>
      </x:c>
      <x:c r="E220" s="15" t="str">
        <x:v>低（约22）</x:v>
      </x:c>
      <x:c r="F220" s="15" t="str">
        <x:v>机制说明页</x:v>
      </x:c>
      <x:c r="G220" s="15" t="str">
        <x:v>https://www.google.com/search?q=pax%20autocratica%20conversion%20guide</x:v>
      </x:c>
    </x:row>
    <x:row r="221">
      <x:c r="A221" s="15" t="str">
        <x:v>Pax Autocratica</x:v>
      </x:c>
      <x:c r="B221" s="15" t="str">
        <x:v>pax autocratica cores guide</x:v>
      </x:c>
      <x:c r="C221" s="15" t="str">
        <x:v>机制/入门</x:v>
      </x:c>
      <x:c r="D221" s="15" t="str">
        <x:v>P1</x:v>
      </x:c>
      <x:c r="E221" s="15" t="str">
        <x:v>低（约22）</x:v>
      </x:c>
      <x:c r="F221" s="15" t="str">
        <x:v>机制说明页</x:v>
      </x:c>
      <x:c r="G221" s="15" t="str">
        <x:v>https://www.google.com/search?q=pax%20autocratica%20cores%20guide</x:v>
      </x:c>
    </x:row>
    <x:row r="222">
      <x:c r="A222" s="15" t="str">
        <x:v>Pax Autocratica</x:v>
      </x:c>
      <x:c r="B222" s="15" t="str">
        <x:v>pax autocratica best weapons</x:v>
      </x:c>
      <x:c r="C222" s="15" t="str">
        <x:v>选择/优化</x:v>
      </x:c>
      <x:c r="D222" s="15" t="str">
        <x:v>P3</x:v>
      </x:c>
      <x:c r="E222" s="15" t="str">
        <x:v>低（约22）</x:v>
      </x:c>
      <x:c r="F222" s="15" t="str">
        <x:v>对比/构筑页</x:v>
      </x:c>
      <x:c r="G222" s="15" t="str">
        <x:v>https://www.google.com/search?q=pax%20autocratica%20best%20weapons</x:v>
      </x:c>
    </x:row>
    <x:row r="223">
      <x:c r="A223" s="15" t="str">
        <x:v>Pax Autocratica</x:v>
      </x:c>
      <x:c r="B223" s="15" t="str">
        <x:v>pax autocratica mechs guide</x:v>
      </x:c>
      <x:c r="C223" s="15" t="str">
        <x:v>机制/入门</x:v>
      </x:c>
      <x:c r="D223" s="15" t="str">
        <x:v>P1</x:v>
      </x:c>
      <x:c r="E223" s="15" t="str">
        <x:v>低（约22）</x:v>
      </x:c>
      <x:c r="F223" s="15" t="str">
        <x:v>机制说明页</x:v>
      </x:c>
      <x:c r="G223" s="15" t="str">
        <x:v>https://www.google.com/search?q=pax%20autocratica%20mechs%20guide</x:v>
      </x:c>
    </x:row>
    <x:row r="224">
      <x:c r="A224" s="15" t="str">
        <x:v>Pax Autocratica</x:v>
      </x:c>
      <x:c r="B224" s="15" t="str">
        <x:v>pax autocratica expedition guide</x:v>
      </x:c>
      <x:c r="C224" s="15" t="str">
        <x:v>机制/入门</x:v>
      </x:c>
      <x:c r="D224" s="15" t="str">
        <x:v>P1</x:v>
      </x:c>
      <x:c r="E224" s="15" t="str">
        <x:v>低（约22）</x:v>
      </x:c>
      <x:c r="F224" s="15" t="str">
        <x:v>机制说明页</x:v>
      </x:c>
      <x:c r="G224" s="15" t="str">
        <x:v>https://www.google.com/search?q=pax%20autocratica%20expedition%20guide</x:v>
      </x:c>
    </x:row>
    <x:row r="225">
      <x:c r="A225" s="15" t="str">
        <x:v>Pax Autocratica</x:v>
      </x:c>
      <x:c r="B225" s="15" t="str">
        <x:v>pax autocratica research tree</x:v>
      </x:c>
      <x:c r="C225" s="15" t="str">
        <x:v>机制/入门</x:v>
      </x:c>
      <x:c r="D225" s="15" t="str">
        <x:v>P3</x:v>
      </x:c>
      <x:c r="E225" s="15" t="str">
        <x:v>低（约22）</x:v>
      </x:c>
      <x:c r="F225" s="15" t="str">
        <x:v>机制说明页</x:v>
      </x:c>
      <x:c r="G225" s="15" t="str">
        <x:v>https://www.google.com/search?q=pax%20autocratica%20research%20tree</x:v>
      </x:c>
    </x:row>
    <x:row r="226">
      <x:c r="A226" s="15" t="str">
        <x:v>Pax Autocratica</x:v>
      </x:c>
      <x:c r="B226" s="15" t="str">
        <x:v>pax autocratica automation guide</x:v>
      </x:c>
      <x:c r="C226" s="15" t="str">
        <x:v>机制/入门</x:v>
      </x:c>
      <x:c r="D226" s="15" t="str">
        <x:v>P1</x:v>
      </x:c>
      <x:c r="E226" s="15" t="str">
        <x:v>低（约22）</x:v>
      </x:c>
      <x:c r="F226" s="15" t="str">
        <x:v>机制说明页</x:v>
      </x:c>
      <x:c r="G226" s="15" t="str">
        <x:v>https://www.google.com/search?q=pax%20autocratica%20automation%20guide</x:v>
      </x:c>
    </x:row>
    <x:row r="227">
      <x:c r="A227" s="15" t="str">
        <x:v>Pax Autocratica</x:v>
      </x:c>
      <x:c r="B227" s="15" t="str">
        <x:v>pax autocratica resource farming</x:v>
      </x:c>
      <x:c r="C227" s="15" t="str">
        <x:v>机制/入门</x:v>
      </x:c>
      <x:c r="D227" s="15" t="str">
        <x:v>P3</x:v>
      </x:c>
      <x:c r="E227" s="15" t="str">
        <x:v>低（约22）</x:v>
      </x:c>
      <x:c r="F227" s="15" t="str">
        <x:v>机制说明页</x:v>
      </x:c>
      <x:c r="G227" s="15" t="str">
        <x:v>https://www.google.com/search?q=pax%20autocratica%20resource%20farming</x:v>
      </x:c>
    </x:row>
    <x:row r="228">
      <x:c r="A228" s="15" t="str">
        <x:v>Pax Autocratica</x:v>
      </x:c>
      <x:c r="B228" s="15" t="str">
        <x:v>pax autocratica colony stability</x:v>
      </x:c>
      <x:c r="C228" s="15" t="str">
        <x:v>机制/入门</x:v>
      </x:c>
      <x:c r="D228" s="15" t="str">
        <x:v>P3</x:v>
      </x:c>
      <x:c r="E228" s="15" t="str">
        <x:v>低（约22）</x:v>
      </x:c>
      <x:c r="F228" s="15" t="str">
        <x:v>机制说明页</x:v>
      </x:c>
      <x:c r="G228" s="15" t="str">
        <x:v>https://www.google.com/search?q=pax%20autocratica%20colony%20stability</x:v>
      </x:c>
    </x:row>
    <x:row r="229">
      <x:c r="A229" s="15" t="str">
        <x:v>Pax Autocratica</x:v>
      </x:c>
      <x:c r="B229" s="15" t="str">
        <x:v>pax autocratica best buildings</x:v>
      </x:c>
      <x:c r="C229" s="15" t="str">
        <x:v>选择/优化</x:v>
      </x:c>
      <x:c r="D229" s="15" t="str">
        <x:v>P1</x:v>
      </x:c>
      <x:c r="E229" s="15" t="str">
        <x:v>低（约22）</x:v>
      </x:c>
      <x:c r="F229" s="15" t="str">
        <x:v>对比/构筑页</x:v>
      </x:c>
      <x:c r="G229" s="15" t="str">
        <x:v>https://www.google.com/search?q=pax%20autocratica%20best%20buildings</x:v>
      </x:c>
    </x:row>
    <x:row r="230">
      <x:c r="A230" s="15" t="str">
        <x:v>Pax Autocratica</x:v>
      </x:c>
      <x:c r="B230" s="15" t="str">
        <x:v>pax autocratica worker happiness</x:v>
      </x:c>
      <x:c r="C230" s="15" t="str">
        <x:v>机制/入门</x:v>
      </x:c>
      <x:c r="D230" s="15" t="str">
        <x:v>P3</x:v>
      </x:c>
      <x:c r="E230" s="15" t="str">
        <x:v>低（约22）</x:v>
      </x:c>
      <x:c r="F230" s="15" t="str">
        <x:v>机制说明页</x:v>
      </x:c>
      <x:c r="G230" s="15" t="str">
        <x:v>https://www.google.com/search?q=pax%20autocratica%20worker%20happiness</x:v>
      </x:c>
    </x:row>
    <x:row r="231">
      <x:c r="A231" s="15" t="str">
        <x:v>Pax Autocratica</x:v>
      </x:c>
      <x:c r="B231" s="15" t="str">
        <x:v>pax autocratica combat guide</x:v>
      </x:c>
      <x:c r="C231" s="15" t="str">
        <x:v>机制/入门</x:v>
      </x:c>
      <x:c r="D231" s="15" t="str">
        <x:v>P1</x:v>
      </x:c>
      <x:c r="E231" s="15" t="str">
        <x:v>低（约22）</x:v>
      </x:c>
      <x:c r="F231" s="15" t="str">
        <x:v>机制说明页</x:v>
      </x:c>
      <x:c r="G231" s="15" t="str">
        <x:v>https://www.google.com/search?q=pax%20autocratica%20combat%20guide</x:v>
      </x:c>
    </x:row>
    <x:row r="232">
      <x:c r="A232" s="15" t="str">
        <x:v>Pax Autocratica</x:v>
      </x:c>
      <x:c r="B232" s="15" t="str">
        <x:v>pax autocratica prologue vs early access</x:v>
      </x:c>
      <x:c r="C232" s="15" t="str">
        <x:v>机制/入门</x:v>
      </x:c>
      <x:c r="D232" s="15" t="str">
        <x:v>P3</x:v>
      </x:c>
      <x:c r="E232" s="15" t="str">
        <x:v>低（约17）</x:v>
      </x:c>
      <x:c r="F232" s="15" t="str">
        <x:v>机制说明页</x:v>
      </x:c>
      <x:c r="G232" s="15" t="str">
        <x:v>https://www.google.com/search?q=pax%20autocratica%20prologue%20vs%20early%20access</x:v>
      </x:c>
    </x:row>
    <x:row r="233">
      <x:c r="A233" s="15" t="str">
        <x:v>Pax Autocratica</x:v>
      </x:c>
      <x:c r="B233" s="15" t="str">
        <x:v>pax autocratica save location</x:v>
      </x:c>
      <x:c r="C233" s="15" t="str">
        <x:v>故障/设置</x:v>
      </x:c>
      <x:c r="D233" s="15" t="str">
        <x:v>P2</x:v>
      </x:c>
      <x:c r="E233" s="15" t="str">
        <x:v>低（约17）</x:v>
      </x:c>
      <x:c r="F233" s="15" t="str">
        <x:v>FAQ/排错页</x:v>
      </x:c>
      <x:c r="G233" s="15" t="str">
        <x:v>https://www.google.com/search?q=pax%20autocratica%20save%20location</x:v>
      </x:c>
    </x:row>
    <x:row r="234">
      <x:c r="A234" s="15" t="str">
        <x:v>Pax Autocratica</x:v>
      </x:c>
      <x:c r="B234" s="15" t="str">
        <x:v>pax autocratica performance settings</x:v>
      </x:c>
      <x:c r="C234" s="15" t="str">
        <x:v>故障/设置</x:v>
      </x:c>
      <x:c r="D234" s="15" t="str">
        <x:v>P2</x:v>
      </x:c>
      <x:c r="E234" s="15" t="str">
        <x:v>低（约22）</x:v>
      </x:c>
      <x:c r="F234" s="15" t="str">
        <x:v>FAQ/排错页</x:v>
      </x:c>
      <x:c r="G234" s="15" t="str">
        <x:v>https://www.google.com/search?q=pax%20autocratica%20performance%20settings</x:v>
      </x:c>
    </x:row>
  </x:sheetData>
  <x:mergeCells>
    <x:mergeCell ref="A1:G1"/>
    <x:mergeCell ref="A2:G2"/>
  </x:mergeCells>
  <x:conditionalFormatting sqref="D5:D234">
    <x:cfRule type="containsText" dxfId="0" priority="1" operator="containsText" text="P1"/>
  </x:conditionalFormatting>
  <x:conditionalFormatting sqref="E5:E234">
    <x:cfRule type="containsText" dxfId="1" priority="2" operator="containsText" text="高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  <x:col min="8" max="8" width="48" hidden="0" customWidth="1"/>
  </x:cols>
  <x:sheetData>
    <x:row r="1">
      <x:c r="A1" s="3" t="str">
        <x:v>Google首页竞争抽样</x:v>
      </x:c>
      <x:c r="B1" s="3"/>
      <x:c r="C1" s="3"/>
      <x:c r="D1" s="3"/>
      <x:c r="E1" s="3"/>
      <x:c r="F1" s="3"/>
      <x:c r="G1" s="3"/>
      <x:c r="H1" s="3"/>
    </x:row>
    <x:row r="2">
      <x:c r="A2" s="27" t="str">
        <x:v>识别截图所述竞争者类型：Fandom/Wiki、官方资料站、大型媒体、成熟攻略站，以及Steam/YouTube/Reddit等普通内页。</x:v>
      </x:c>
      <x:c r="B2" s="27"/>
      <x:c r="C2" s="27"/>
      <x:c r="D2" s="27"/>
      <x:c r="E2" s="27"/>
      <x:c r="F2" s="27"/>
      <x:c r="G2" s="27"/>
      <x:c r="H2" s="27"/>
    </x:row>
    <x:row r="4">
      <x:c r="A4" s="12" t="str">
        <x:v>游戏名</x:v>
      </x:c>
      <x:c r="B4" s="12" t="str">
        <x:v>查询词</x:v>
      </x:c>
      <x:c r="C4" s="12" t="str">
        <x:v>主要结果类型</x:v>
      </x:c>
      <x:c r="D4" s="12" t="str">
        <x:v>代表域名/页面</x:v>
      </x:c>
      <x:c r="E4" s="12" t="str">
        <x:v>竞争等级</x:v>
      </x:c>
      <x:c r="F4" s="12" t="str">
        <x:v>判断</x:v>
      </x:c>
      <x:c r="G4" s="12" t="str">
        <x:v>来源1</x:v>
      </x:c>
      <x:c r="H4" s="12" t="str">
        <x:v>来源2</x:v>
      </x:c>
    </x:row>
    <x:row r="5" ht="72" customHeight="1">
      <x:c r="A5" s="15" t="str">
        <x:v>Big Walk</x:v>
      </x:c>
      <x:c r="B5" s="15" t="str">
        <x:v>big walk game guide wiki puzzle</x:v>
      </x:c>
      <x:c r="C5" s="15" t="str">
        <x:v>专属Wiki、PC Gamer、Reddit、Steam</x:v>
      </x:c>
      <x:c r="D5" s="15" t="str">
        <x:v>bigwalk.wiki；PC Gamer单谜题页</x:v>
      </x:c>
      <x:c r="E5" s="15" t="str">
        <x:v>中高</x:v>
      </x:c>
      <x:c r="F5" s="15" t="str">
        <x:v>主词已有站，但单个谜题仍可切入</x:v>
      </x:c>
      <x:c r="G5" s="15" t="str">
        <x:v>https://bigwalk.wiki/</x:v>
      </x:c>
      <x:c r="H5" s="15" t="str">
        <x:v>https://www.pcgamer.com/games/puzzle/big-walk-number-puzzle-4166-1899/</x:v>
      </x:c>
    </x:row>
    <x:row r="6" ht="72" customHeight="1">
      <x:c r="A6" s="15" t="str">
        <x:v>Mistfall Hunter</x:v>
      </x:c>
      <x:c r="B6" s="15" t="str">
        <x:v>mistfall hunter guide wiki builds</x:v>
      </x:c>
      <x:c r="C6" s="15" t="str">
        <x:v>多个专属Wiki、Fandom、工具站、媒体</x:v>
      </x:c>
      <x:c r="D6" s="15" t="str">
        <x:v>mistfallhunterwiki.wiki；mistfallhunter.cc；Fandom</x:v>
      </x:c>
      <x:c r="E6" s="15" t="str">
        <x:v>高</x:v>
      </x:c>
      <x:c r="F6" s="15" t="str">
        <x:v>首页供给非常充分，差异化成本高</x:v>
      </x:c>
      <x:c r="G6" s="15" t="str">
        <x:v>https://www.mistfallhunterwiki.wiki/</x:v>
      </x:c>
      <x:c r="H6" s="15" t="str">
        <x:v>https://mistfallhunter.fandom.com/wiki/Mistfall_Hunter_Wiki</x:v>
      </x:c>
    </x:row>
    <x:row r="7" ht="72" customHeight="1">
      <x:c r="A7" s="15" t="str">
        <x:v>Shift At Midnight</x:v>
      </x:c>
      <x:c r="B7" s="15" t="str">
        <x:v>shift at midnight game guide monsters</x:v>
      </x:c>
      <x:c r="C7" s="15" t="str">
        <x:v>YouTube、新闻媒体、Steam、零散讨论</x:v>
      </x:c>
      <x:c r="D7" s="15" t="str">
        <x:v>Windows Central；YouTube</x:v>
      </x:c>
      <x:c r="E7" s="15" t="str">
        <x:v>低</x:v>
      </x:c>
      <x:c r="F7" s="15" t="str">
        <x:v>缺少结构化文字攻略和数据库</x:v>
      </x:c>
      <x:c r="G7" s="15" t="str">
        <x:v>https://www.windowscentral.com/gaming/this-viral-steam-pc-horror-game-is-coming-exclusive-to-xbox-on-consoles-next-week-with-game-pass-and-play-anywhere</x:v>
      </x:c>
      <x:c r="H7" s="15" t="str">
        <x:v>https://www.youtube.com/results?search_query=shift+at+midnight+guide</x:v>
      </x:c>
    </x:row>
    <x:row r="8" ht="72" customHeight="1">
      <x:c r="A8" s="15" t="str">
        <x:v>Hell Let Loose: Vietnam</x:v>
      </x:c>
      <x:c r="B8" s="15" t="str">
        <x:v>hell let loose vietnam guide wiki</x:v>
      </x:c>
      <x:c r="C8" s="15" t="str">
        <x:v>专属Wiki、旧作社区、大型媒体</x:v>
      </x:c>
      <x:c r="D8" s="15" t="str">
        <x:v>hell-let-loose.wiki；hellletloosevietnam.wiki；GamesRadar</x:v>
      </x:c>
      <x:c r="E8" s="15" t="str">
        <x:v>高</x:v>
      </x:c>
      <x:c r="F8" s="15" t="str">
        <x:v>已有品牌社区和垂直站提前覆盖</x:v>
      </x:c>
      <x:c r="G8" s="15" t="str">
        <x:v>https://hell-let-loose.wiki/</x:v>
      </x:c>
      <x:c r="H8" s="15" t="str">
        <x:v>https://hellletloosevietnam.wiki/</x:v>
      </x:c>
    </x:row>
    <x:row r="9" ht="72" customHeight="1">
      <x:c r="A9" s="15" t="str">
        <x:v>Servant of the Lake</x:v>
      </x:c>
      <x:c r="B9" s="15" t="str">
        <x:v>servant of the lake walkthrough puzzles</x:v>
      </x:c>
      <x:c r="C9" s="15" t="str">
        <x:v>旧Demo攻略、YouTube、Steam</x:v>
      </x:c>
      <x:c r="D9" s="15" t="str">
        <x:v>AppUnwrapper；YouTube</x:v>
      </x:c>
      <x:c r="E9" s="15" t="str">
        <x:v>中低</x:v>
      </x:c>
      <x:c r="F9" s="15" t="str">
        <x:v>完整版系统化文字攻略仍稀缺</x:v>
      </x:c>
      <x:c r="G9" s="15" t="str">
        <x:v>https://www.appunwrapper.com/2025/10/13/servant-of-the-lake-demo-walkthrough-guide/</x:v>
      </x:c>
      <x:c r="H9" s="15" t="str">
        <x:v>https://www.youtube.com/results?search_query=servant+of+the+lake+walkthrough</x:v>
      </x:c>
    </x:row>
    <x:row r="10" ht="72" customHeight="1">
      <x:c r="A10" s="15" t="str">
        <x:v>Halo: Campaign Evolved</x:v>
      </x:c>
      <x:c r="B10" s="15" t="str">
        <x:v>halo campaign evolved guide skulls</x:v>
      </x:c>
      <x:c r="C10" s="15" t="str">
        <x:v>GameSpot、Neoseeker、Vandal、专属Wiki</x:v>
      </x:c>
      <x:c r="D10" s="15" t="str">
        <x:v>GameSpot；Neoseeker；halocampaignevolve.wiki</x:v>
      </x:c>
      <x:c r="E10" s="15" t="str">
        <x:v>高</x:v>
      </x:c>
      <x:c r="F10" s="15" t="str">
        <x:v>大站已经覆盖关键收集品</x:v>
      </x:c>
      <x:c r="G10" s="15" t="str">
        <x:v>https://www.gamespot.com/articles/halo-campaign-evolved-every-skull-location/</x:v>
      </x:c>
      <x:c r="H10" s="15" t="str">
        <x:v>https://www.neoseeker.com/halo-campaign-evolved/walkthrough</x:v>
      </x:c>
    </x:row>
    <x:row r="11" ht="72" customHeight="1">
      <x:c r="A11" s="15" t="str">
        <x:v>MARVEL Tōkon: Fighting Souls</x:v>
      </x:c>
      <x:c r="B11" s="15" t="str">
        <x:v>marvel tokon guide tier list combos</x:v>
      </x:c>
      <x:c r="C11" s="15" t="str">
        <x:v>官方指南、Dot Esports、媒体、专属Wiki、视频</x:v>
      </x:c>
      <x:c r="D11" s="15" t="str">
        <x:v>Dot Esports；Marvel Tokon Wiki</x:v>
      </x:c>
      <x:c r="E11" s="15" t="str">
        <x:v>高</x:v>
      </x:c>
      <x:c r="F11" s="15" t="str">
        <x:v>品牌和格斗内容创作者竞争强</x:v>
      </x:c>
      <x:c r="G11" s="15" t="str">
        <x:v>https://dotesports.com/marvel/guides/marvel-tokon-fighting-souls-beginner-combos</x:v>
      </x:c>
      <x:c r="H11" s="15" t="str">
        <x:v>https://www.xn--marveltkonfightingsouls-19d.wiki/en/teams/team-remix-guide/</x:v>
      </x:c>
    </x:row>
    <x:row r="12" ht="72" customHeight="1">
      <x:c r="A12" s="15" t="str">
        <x:v>ReStory: Chill Electronics Repairs</x:v>
      </x:c>
      <x:c r="B12" s="15" t="str">
        <x:v>restory chill electronics repairs guide</x:v>
      </x:c>
      <x:c r="C12" s="15" t="str">
        <x:v>新闻、商店、视频，系统攻略少</x:v>
      </x:c>
      <x:c r="D12" s="15" t="str">
        <x:v>Meristation；Steam</x:v>
      </x:c>
      <x:c r="E12" s="15" t="str">
        <x:v>低</x:v>
      </x:c>
      <x:c r="F12" s="15" t="str">
        <x:v>尚未看到成熟攻略中心</x:v>
      </x:c>
      <x:c r="G12" s="15" t="str">
        <x:v>https://as.com/meristation/noticias/restory-el-simulador-tranquilo-donde-arreglar-consolas-es-solo-el-principio-f202606-n/</x:v>
      </x:c>
      <x:c r="H12" s="15" t="str">
        <x:v>https://store.steampowered.com/app/3812600/</x:v>
      </x:c>
    </x:row>
    <x:row r="13" ht="72" customHeight="1">
      <x:c r="A13" s="15" t="str">
        <x:v>IRON NEST: Heavy Turret Simulator</x:v>
      </x:c>
      <x:c r="B13" s="15" t="str">
        <x:v>iron nest guide coordinates</x:v>
      </x:c>
      <x:c r="C13" s="15" t="str">
        <x:v>Pro Game Guides、多个垂直Wiki、Steam指南</x:v>
      </x:c>
      <x:c r="D13" s="15" t="str">
        <x:v>Pro Game Guides；iron-nest.wiki；ironnest.run</x:v>
      </x:c>
      <x:c r="E13" s="15" t="str">
        <x:v>中高</x:v>
      </x:c>
      <x:c r="F13" s="15" t="str">
        <x:v>已有攻略站，但复杂机制仍有工具型机会</x:v>
      </x:c>
      <x:c r="G13" s="15" t="str">
        <x:v>https://progameguides.com/iron-nest/</x:v>
      </x:c>
      <x:c r="H13" s="15" t="str">
        <x:v>https://iron-nest.wiki/guides/</x:v>
      </x:c>
    </x:row>
    <x:row r="14" ht="72" customHeight="1">
      <x:c r="A14" s="15" t="str">
        <x:v>Pax Autocratica</x:v>
      </x:c>
      <x:c r="B14" s="15" t="str">
        <x:v>pax autocratica guide wiki colony</x:v>
      </x:c>
      <x:c r="C14" s="15" t="str">
        <x:v>一个专属Wiki、博客、Reddit、Steam</x:v>
      </x:c>
      <x:c r="D14" s="15" t="str">
        <x:v>paxautocraticawiki.com；Xmodhub</x:v>
      </x:c>
      <x:c r="E14" s="15" t="str">
        <x:v>中低</x:v>
      </x:c>
      <x:c r="F14" s="15" t="str">
        <x:v>尚无大型攻略站全面覆盖</x:v>
      </x:c>
      <x:c r="G14" s="15" t="str">
        <x:v>https://paxautocraticawiki.com/prologue/vs-early-access/</x:v>
      </x:c>
      <x:c r="H14" s="15" t="str">
        <x:v>https://www.xmodhub.com/info/blog/pax-autocratica-base-building-guide-optimal-layouts/</x:v>
      </x:c>
    </x:row>
  </x:sheetData>
  <x:mergeCells>
    <x:mergeCell ref="A1:H1"/>
    <x:mergeCell ref="A2:H2"/>
  </x:mergeCells>
  <x:conditionalFormatting sqref="E5:E14">
    <x:cfRule type="containsText" dxfId="2" priority="1" operator="containsText" text="高"/>
    <x:cfRule type="containsText" dxfId="3" priority="2" operator="containsText" text="低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45" hidden="0" customWidth="1"/>
    <x:col min="10" max="10" width="45" hidden="0" customWidth="1"/>
    <x:col min="11" max="11" width="42" hidden="0" customWidth="1"/>
    <x:col min="12" max="12" width="42" hidden="0" customWidth="1"/>
  </x:cols>
  <x:sheetData>
    <x:row r="1">
      <x:c r="A1" s="3" t="str">
        <x:v>输入数据与评分规则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黄色为可编辑输入；在线、峰值、评分和畅销排名来自SteamDB查询快照。KD为SERP模型估算，不是Similarweb实测。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2" t="str">
        <x:v>游戏名</x:v>
      </x:c>
      <x:c r="B4" s="12" t="str">
        <x:v>发售日</x:v>
      </x:c>
      <x:c r="C4" s="12" t="str">
        <x:v>当前在线</x:v>
      </x:c>
      <x:c r="D4" s="12" t="str">
        <x:v>历史峰值</x:v>
      </x:c>
      <x:c r="E4" s="12" t="str">
        <x:v>评分</x:v>
      </x:c>
      <x:c r="F4" s="12" t="str">
        <x:v>畅销排名</x:v>
      </x:c>
      <x:c r="G4" s="12" t="str">
        <x:v>KD估算</x:v>
      </x:c>
      <x:c r="H4" s="12" t="str">
        <x:v>SERP竞争</x:v>
      </x:c>
      <x:c r="I4" s="12" t="str">
        <x:v>趋势依据</x:v>
      </x:c>
      <x:c r="J4" s="12" t="str">
        <x:v>决策原因</x:v>
      </x:c>
      <x:c r="K4" s="12" t="str">
        <x:v>SteamDB URL</x:v>
      </x:c>
      <x:c r="L4" s="12" t="str">
        <x:v>SERP样本URL</x:v>
      </x:c>
    </x:row>
    <x:row r="5">
      <x:c r="A5" s="20" t="str">
        <x:v>Big Walk</x:v>
      </x:c>
      <x:c r="B5" s="21" t="n">
        <x:v>46238</x:v>
      </x:c>
      <x:c r="C5" s="22" t="n">
        <x:v>25553</x:v>
      </x:c>
      <x:c r="D5" s="22" t="n">
        <x:v>46409</x:v>
      </x:c>
      <x:c r="E5" s="23" t="n">
        <x:v>0.9135</x:v>
      </x:c>
      <x:c r="F5" s="24" t="n">
        <x:v>9</x:v>
      </x:c>
      <x:c r="G5" s="24" t="n">
        <x:v>38</x:v>
      </x:c>
      <x:c r="H5" s="20" t="str">
        <x:v>中高</x:v>
      </x:c>
      <x:c r="I5" s="20" t="str">
        <x:v>上线11天，当前在线约为峰值55%；仍在畅销榜前10，但主词热度已从首发峰值回落。</x:v>
      </x:c>
      <x:c r="J5" s="20" t="str">
        <x:v>主词已有专属Wiki和PC Gamer谜题页；不建议正面抢主词，可围绕单个谜题、坐标和物品位置做长尾。</x:v>
      </x:c>
      <x:c r="K5" s="20" t="str">
        <x:v>https://steamdb.info/app/1478500/charts/</x:v>
      </x:c>
      <x:c r="L5" s="20" t="str">
        <x:v>https://bigwalk.wiki/</x:v>
      </x:c>
    </x:row>
    <x:row r="6">
      <x:c r="A6" s="20" t="str">
        <x:v>Mistfall Hunter</x:v>
      </x:c>
      <x:c r="B6" s="21" t="n">
        <x:v>46232</x:v>
      </x:c>
      <x:c r="C6" s="22" t="n">
        <x:v>26790</x:v>
      </x:c>
      <x:c r="D6" s="22" t="n">
        <x:v>44472</x:v>
      </x:c>
      <x:c r="E6" s="23" t="n">
        <x:v>0.5908</x:v>
      </x:c>
      <x:c r="F6" s="24" t="n">
        <x:v>43</x:v>
      </x:c>
      <x:c r="G6" s="24" t="n">
        <x:v>58</x:v>
      </x:c>
      <x:c r="H6" s="20" t="str">
        <x:v>高</x:v>
      </x:c>
      <x:c r="I6" s="20" t="str">
        <x:v>上线17天，当前在线约为峰值60%，仍有体量，但搜索结果已出现多个专属Wiki、Fandom和构筑工具。</x:v>
      </x:c>
      <x:c r="J6" s="20" t="str">
        <x:v>长尾非常多，但已有多家专属Wiki和工具站提前卡位；新站很难靠普通攻略形成差异化。</x:v>
      </x:c>
      <x:c r="K6" s="20" t="str">
        <x:v>https://steamdb.info/app/3282300/charts/</x:v>
      </x:c>
      <x:c r="L6" s="20" t="str">
        <x:v>https://www.mistfallhunterwiki.wiki/</x:v>
      </x:c>
    </x:row>
    <x:row r="7">
      <x:c r="A7" s="20" t="str">
        <x:v>Shift At Midnight</x:v>
      </x:c>
      <x:c r="B7" s="21" t="n">
        <x:v>46225</x:v>
      </x:c>
      <x:c r="C7" s="22" t="n">
        <x:v>12331</x:v>
      </x:c>
      <x:c r="D7" s="22" t="n">
        <x:v>37590</x:v>
      </x:c>
      <x:c r="E7" s="23" t="n">
        <x:v>0.855</x:v>
      </x:c>
      <x:c r="F7" s="24" t="n">
        <x:v>53</x:v>
      </x:c>
      <x:c r="G7" s="24" t="n">
        <x:v>29</x:v>
      </x:c>
      <x:c r="H7" s="20" t="str">
        <x:v>低</x:v>
      </x:c>
      <x:c r="I7" s="20" t="str">
        <x:v>上线24天，在线约为峰值33%，整体回落；但SERP以视频、媒体和Steam页为主，系统化文字攻略不足。</x:v>
      </x:c>
      <x:c r="J7" s="20" t="str">
        <x:v>主词热度回落，但怪物识别、顾客判断、陷阱和联机故障等需求清晰，适合做小型垂直站。</x:v>
      </x:c>
      <x:c r="K7" s="20" t="str">
        <x:v>https://steamdb.info/app/3722330/charts/</x:v>
      </x:c>
      <x:c r="L7" s="20" t="str">
        <x:v>https://www.windowscentral.com/gaming/this-viral-steam-pc-horror-game-is-coming-exclusive-to-xbox-on-consoles-next-week-with-game-pass-and-play-anywhere</x:v>
      </x:c>
    </x:row>
    <x:row r="8">
      <x:c r="A8" s="20" t="str">
        <x:v>Hell Let Loose: Vietnam</x:v>
      </x:c>
      <x:c r="B8" s="21" t="n">
        <x:v>46247</x:v>
      </x:c>
      <x:c r="C8" s="22" t="n">
        <x:v>14741</x:v>
      </x:c>
      <x:c r="D8" s="22" t="n">
        <x:v>30614</x:v>
      </x:c>
      <x:c r="E8" s="23" t="n">
        <x:v>0.5824</x:v>
      </x:c>
      <x:c r="F8" s="24" t="n">
        <x:v>8</x:v>
      </x:c>
      <x:c r="G8" s="24" t="n">
        <x:v>61</x:v>
      </x:c>
      <x:c r="H8" s="20" t="str">
        <x:v>高</x:v>
      </x:c>
      <x:c r="I8" s="20" t="str">
        <x:v>刚发售2天，仍处上线增长窗口；畅销榜约第8，但品牌和射击攻略竞争很强。</x:v>
      </x:c>
      <x:c r="J8" s="20" t="str">
        <x:v>上线热度高、可拆词多，但已有专属Wiki、原作社区和大型媒体，新手不宜正面做主站。</x:v>
      </x:c>
      <x:c r="K8" s="20" t="str">
        <x:v>https://steamdb.info/app/3079210/charts/</x:v>
      </x:c>
      <x:c r="L8" s="20" t="str">
        <x:v>https://hell-let-loose.wiki/</x:v>
      </x:c>
    </x:row>
    <x:row r="9">
      <x:c r="A9" s="20" t="str">
        <x:v>Servant of the Lake</x:v>
      </x:c>
      <x:c r="B9" s="21" t="n">
        <x:v>46247</x:v>
      </x:c>
      <x:c r="C9" s="22" t="n">
        <x:v>13523</x:v>
      </x:c>
      <x:c r="D9" s="22" t="n">
        <x:v>28533</x:v>
      </x:c>
      <x:c r="E9" s="23" t="n">
        <x:v>0.9393</x:v>
      </x:c>
      <x:c r="F9" s="24" t="n">
        <x:v>56</x:v>
      </x:c>
      <x:c r="G9" s="24" t="n">
        <x:v>24</x:v>
      </x:c>
      <x:c r="H9" s="20" t="str">
        <x:v>中低</x:v>
      </x:c>
      <x:c r="I9" s="20" t="str">
        <x:v>刚发售2天，处于上线增长窗口；解谜游戏天然产生章节、密码、物品和结局搜索。</x:v>
      </x:c>
      <x:c r="J9" s="20" t="str">
        <x:v>评分高、谜题长尾密集，当前首页主要是视频和少量旧Demo攻略，适合快速覆盖全流程。</x:v>
      </x:c>
      <x:c r="K9" s="20" t="str">
        <x:v>https://steamdb.info/app/3636770/charts/</x:v>
      </x:c>
      <x:c r="L9" s="20" t="str">
        <x:v>https://www.appunwrapper.com/2025/10/13/servant-of-the-lake-demo-walkthrough-guide/</x:v>
      </x:c>
    </x:row>
    <x:row r="10">
      <x:c r="A10" s="20" t="str">
        <x:v>Halo: Campaign Evolved</x:v>
      </x:c>
      <x:c r="B10" s="21" t="n">
        <x:v>46231</x:v>
      </x:c>
      <x:c r="C10" s="22" t="n">
        <x:v>1617</x:v>
      </x:c>
      <x:c r="D10" s="22" t="n">
        <x:v>25376</x:v>
      </x:c>
      <x:c r="E10" s="23" t="n">
        <x:v>0.6173</x:v>
      </x:c>
      <x:c r="F10" s="24" t="n">
        <x:v>150</x:v>
      </x:c>
      <x:c r="G10" s="24" t="n">
        <x:v>78</x:v>
      </x:c>
      <x:c r="H10" s="20" t="str">
        <x:v>高</x:v>
      </x:c>
      <x:c r="I10" s="20" t="str">
        <x:v>上线18天，当前在线仅约峰值6%，热度明显回落；品牌词搜索量大但被大型站和成熟社区占据。</x:v>
      </x:c>
      <x:c r="J10" s="20" t="str">
        <x:v>GameSpot、Neoseeker、Vandal和专属Wiki已覆盖骷髅、任务与收集品；不适合新站正面竞争。</x:v>
      </x:c>
      <x:c r="K10" s="20" t="str">
        <x:v>https://steamdb.info/app/2806050/charts/</x:v>
      </x:c>
      <x:c r="L10" s="20" t="str">
        <x:v>https://www.gamespot.com/articles/halo-campaign-evolved-every-skull-location/</x:v>
      </x:c>
    </x:row>
    <x:row r="11">
      <x:c r="A11" s="20" t="str">
        <x:v>MARVEL Tōkon: Fighting Souls</x:v>
      </x:c>
      <x:c r="B11" s="21" t="n">
        <x:v>46240</x:v>
      </x:c>
      <x:c r="C11" s="22" t="n">
        <x:v>4601</x:v>
      </x:c>
      <x:c r="D11" s="22" t="n">
        <x:v>24498</x:v>
      </x:c>
      <x:c r="E11" s="23" t="n">
        <x:v>0.486</x:v>
      </x:c>
      <x:c r="F11" s="24" t="n">
        <x:v>63</x:v>
      </x:c>
      <x:c r="G11" s="24" t="n">
        <x:v>74</x:v>
      </x:c>
      <x:c r="H11" s="20" t="str">
        <x:v>高</x:v>
      </x:c>
      <x:c r="I11" s="20" t="str">
        <x:v>上线9天，当前在线约为峰值19%，热度快速回落；Marvel品牌和格斗媒体竞争强。</x:v>
      </x:c>
      <x:c r="J11" s="20" t="str">
        <x:v>角色连招和Tier List需求多，但官方指南、Dot Esports、视频作者和专属Wiki已占位，主词不建议做。</x:v>
      </x:c>
      <x:c r="K11" s="20" t="str">
        <x:v>https://steamdb.info/app/3787240/charts/</x:v>
      </x:c>
      <x:c r="L11" s="20" t="str">
        <x:v>https://dotesports.com/marvel/guides/marvel-tokon-fighting-souls-beginner-combos</x:v>
      </x:c>
    </x:row>
    <x:row r="12">
      <x:c r="A12" s="20" t="str">
        <x:v>ReStory: Chill Electronics Repairs</x:v>
      </x:c>
      <x:c r="B12" s="21" t="n">
        <x:v>46240</x:v>
      </x:c>
      <x:c r="C12" s="22" t="n">
        <x:v>10353</x:v>
      </x:c>
      <x:c r="D12" s="22" t="n">
        <x:v>19647</x:v>
      </x:c>
      <x:c r="E12" s="23" t="n">
        <x:v>0.9256</x:v>
      </x:c>
      <x:c r="F12" s="24" t="n">
        <x:v>48</x:v>
      </x:c>
      <x:c r="G12" s="24" t="n">
        <x:v>22</x:v>
      </x:c>
      <x:c r="H12" s="20" t="str">
        <x:v>低</x:v>
      </x:c>
      <x:c r="I12" s="20" t="str">
        <x:v>上线9天，当前在线约为峰值53%，表现稳定；现有SERP以新闻、商店页和视频为主。</x:v>
      </x:c>
      <x:c r="J12" s="20" t="str">
        <x:v>维修步骤、零件、顾客选择和店铺升级需求明确，专门文字攻略稀缺，适合抢占。</x:v>
      </x:c>
      <x:c r="K12" s="20" t="str">
        <x:v>https://steamdb.info/app/3812600/charts/</x:v>
      </x:c>
      <x:c r="L12" s="20" t="str">
        <x:v>https://as.com/meristation/noticias/restory-el-simulador-tranquilo-donde-arreglar-consolas-es-solo-el-principio-f202606-n/</x:v>
      </x:c>
    </x:row>
    <x:row r="13">
      <x:c r="A13" s="20" t="str">
        <x:v>IRON NEST: Heavy Turret Simulator</x:v>
      </x:c>
      <x:c r="B13" s="21" t="n">
        <x:v>46240</x:v>
      </x:c>
      <x:c r="C13" s="22" t="n">
        <x:v>9486</x:v>
      </x:c>
      <x:c r="D13" s="22" t="n">
        <x:v>17599</x:v>
      </x:c>
      <x:c r="E13" s="23" t="n">
        <x:v>0.9499</x:v>
      </x:c>
      <x:c r="F13" s="24" t="n">
        <x:v>28</x:v>
      </x:c>
      <x:c r="G13" s="24" t="n">
        <x:v>38</x:v>
      </x:c>
      <x:c r="H13" s="20" t="str">
        <x:v>中高</x:v>
      </x:c>
      <x:c r="I13" s="20" t="str">
        <x:v>上线9天，当前在线约为峰值54%，评分和畅销排名都强；但上线前已有Wiki与成熟攻略站布局。</x:v>
      </x:c>
      <x:c r="J13" s="20" t="str">
        <x:v>计算和操作长尾非常适合SEO，但已有Pro Game Guides和两个垂直站；建议只做细分工具/计算器与高难问题。</x:v>
      </x:c>
      <x:c r="K13" s="20" t="str">
        <x:v>https://steamdb.info/app/2950790/charts/</x:v>
      </x:c>
      <x:c r="L13" s="20" t="str">
        <x:v>https://progameguides.com/iron-nest/</x:v>
      </x:c>
    </x:row>
    <x:row r="14">
      <x:c r="A14" s="20" t="str">
        <x:v>Pax Autocratica</x:v>
      </x:c>
      <x:c r="B14" s="21" t="n">
        <x:v>46244</x:v>
      </x:c>
      <x:c r="C14" s="22" t="n">
        <x:v>5603</x:v>
      </x:c>
      <x:c r="D14" s="22" t="n">
        <x:v>5603</x:v>
      </x:c>
      <x:c r="E14" s="23" t="n">
        <x:v>0.8671</x:v>
      </x:c>
      <x:c r="F14" s="24" t="n">
        <x:v>40</x:v>
      </x:c>
      <x:c r="G14" s="24" t="n">
        <x:v>31</x:v>
      </x:c>
      <x:c r="H14" s="20" t="str">
        <x:v>中低</x:v>
      </x:c>
      <x:c r="I14" s="20" t="str">
        <x:v>上线5天，查询时仍在刷新峰值；属于小而持续上涨的殖民模拟/动作混合品类。</x:v>
      </x:c>
      <x:c r="J14" s="20" t="str">
        <x:v>主流媒体覆盖少，玩家会搜索基地布局、忠诚、叛乱、生产和远征；适合尽快做深度攻略。</x:v>
      </x:c>
      <x:c r="K14" s="20" t="str">
        <x:v>https://steamdb.info/app/1067360/charts/</x:v>
      </x:c>
      <x:c r="L14" s="20" t="str">
        <x:v>https://paxautocraticawiki.com/prologue/vs-early-access/</x:v>
      </x:c>
    </x:row>
    <x:row r="17">
      <x:c r="A17" s="12" t="str">
        <x:v>维度</x:v>
      </x:c>
      <x:c r="B17" s="12" t="str">
        <x:v>条件</x:v>
      </x:c>
      <x:c r="C17" s="12" t="str">
        <x:v>得分</x:v>
      </x:c>
      <x:c r="D17" s="12" t="str">
        <x:v>说明</x:v>
      </x:c>
    </x:row>
    <x:row r="18">
      <x:c r="A18" s="14" t="str">
        <x:v>趋势</x:v>
      </x:c>
      <x:c r="B18" s="14" t="str">
        <x:v>涨</x:v>
      </x:c>
      <x:c r="C18" s="14" t="n">
        <x:v>30</x:v>
      </x:c>
      <x:c r="D18" s="14" t="str">
        <x:v>新发售且上线动量仍强</x:v>
      </x:c>
    </x:row>
    <x:row r="19">
      <x:c r="A19" s="14" t="str">
        <x:v>趋势</x:v>
      </x:c>
      <x:c r="B19" s="14" t="str">
        <x:v>平</x:v>
      </x:c>
      <x:c r="C19" s="14" t="n">
        <x:v>20</x:v>
      </x:c>
      <x:c r="D19" s="14" t="str">
        <x:v>仍有稳定需求</x:v>
      </x:c>
    </x:row>
    <x:row r="20">
      <x:c r="A20" s="14" t="str">
        <x:v>趋势</x:v>
      </x:c>
      <x:c r="B20" s="14" t="str">
        <x:v>跌</x:v>
      </x:c>
      <x:c r="C20" s="14" t="n">
        <x:v>5</x:v>
      </x:c>
      <x:c r="D20" s="14" t="str">
        <x:v>首发峰值后明显回落</x:v>
      </x:c>
    </x:row>
    <x:row r="21">
      <x:c r="A21" s="14" t="str">
        <x:v>KD</x:v>
      </x:c>
      <x:c r="B21" s="14" t="str">
        <x:v>0–20</x:v>
      </x:c>
      <x:c r="C21" s="14" t="n">
        <x:v>30</x:v>
      </x:c>
      <x:c r="D21" s="14" t="str">
        <x:v>低难度</x:v>
      </x:c>
    </x:row>
    <x:row r="22">
      <x:c r="A22" s="14" t="str">
        <x:v>KD</x:v>
      </x:c>
      <x:c r="B22" s="14" t="str">
        <x:v>21–30</x:v>
      </x:c>
      <x:c r="C22" s="14" t="n">
        <x:v>25</x:v>
      </x:c>
      <x:c r="D22" s="14" t="str">
        <x:v>新站可尝试</x:v>
      </x:c>
    </x:row>
    <x:row r="23">
      <x:c r="A23" s="14" t="str">
        <x:v>KD</x:v>
      </x:c>
      <x:c r="B23" s="14" t="str">
        <x:v>31–40</x:v>
      </x:c>
      <x:c r="C23" s="14" t="n">
        <x:v>15</x:v>
      </x:c>
      <x:c r="D23" s="14" t="str">
        <x:v>需要高质量长尾</x:v>
      </x:c>
    </x:row>
    <x:row r="24">
      <x:c r="A24" s="14" t="str">
        <x:v>KD</x:v>
      </x:c>
      <x:c r="B24" s="14" t="str">
        <x:v>41–50</x:v>
      </x:c>
      <x:c r="C24" s="14" t="n">
        <x:v>8</x:v>
      </x:c>
      <x:c r="D24" s="14" t="str">
        <x:v>偏难</x:v>
      </x:c>
    </x:row>
    <x:row r="25">
      <x:c r="A25" s="14" t="str">
        <x:v>KD</x:v>
      </x:c>
      <x:c r="B25" s="14" t="str">
        <x:v>&gt;50</x:v>
      </x:c>
      <x:c r="C25" s="14" t="n">
        <x:v>0</x:v>
      </x:c>
      <x:c r="D25" s="14" t="str">
        <x:v>不建议新站正面做</x:v>
      </x:c>
    </x:row>
    <x:row r="26">
      <x:c r="A26" s="14" t="str">
        <x:v>长尾数量</x:v>
      </x:c>
      <x:c r="B26" s="14" t="str">
        <x:v>≥15</x:v>
      </x:c>
      <x:c r="C26" s="14" t="n">
        <x:v>20</x:v>
      </x:c>
      <x:c r="D26" s="14" t="str">
        <x:v>有内容集群空间</x:v>
      </x:c>
    </x:row>
    <x:row r="27">
      <x:c r="A27" s="14" t="str">
        <x:v>长尾数量</x:v>
      </x:c>
      <x:c r="B27" s="14" t="str">
        <x:v>10–14</x:v>
      </x:c>
      <x:c r="C27" s="14" t="n">
        <x:v>15</x:v>
      </x:c>
      <x:c r="D27" s="14" t="str">
        <x:v>中等</x:v>
      </x:c>
    </x:row>
    <x:row r="28">
      <x:c r="A28" s="14" t="str">
        <x:v>长尾数量</x:v>
      </x:c>
      <x:c r="B28" s="14" t="str">
        <x:v>6–9</x:v>
      </x:c>
      <x:c r="C28" s="14" t="n">
        <x:v>8</x:v>
      </x:c>
      <x:c r="D28" s="14" t="str">
        <x:v>偏少</x:v>
      </x:c>
    </x:row>
    <x:row r="29">
      <x:c r="A29" s="14" t="str">
        <x:v>长尾数量</x:v>
      </x:c>
      <x:c r="B29" s="14" t="str">
        <x:v>&lt;6</x:v>
      </x:c>
      <x:c r="C29" s="14" t="n">
        <x:v>3</x:v>
      </x:c>
      <x:c r="D29" s="14" t="str">
        <x:v>不适合独立站</x:v>
      </x:c>
    </x:row>
    <x:row r="30">
      <x:c r="A30" s="14" t="str">
        <x:v>SERP</x:v>
      </x:c>
      <x:c r="B30" s="14" t="str">
        <x:v>低</x:v>
      </x:c>
      <x:c r="C30" s="14" t="n">
        <x:v>20</x:v>
      </x:c>
      <x:c r="D30" s="14" t="str">
        <x:v>主要是普通内页/视频</x:v>
      </x:c>
    </x:row>
    <x:row r="31">
      <x:c r="A31" s="14" t="str">
        <x:v>SERP</x:v>
      </x:c>
      <x:c r="B31" s="14" t="str">
        <x:v>中低</x:v>
      </x:c>
      <x:c r="C31" s="14" t="n">
        <x:v>16</x:v>
      </x:c>
      <x:c r="D31" s="14" t="str">
        <x:v>少量专站或媒体</x:v>
      </x:c>
    </x:row>
    <x:row r="32">
      <x:c r="A32" s="14" t="str">
        <x:v>SERP</x:v>
      </x:c>
      <x:c r="B32" s="14" t="str">
        <x:v>中</x:v>
      </x:c>
      <x:c r="C32" s="14" t="n">
        <x:v>10</x:v>
      </x:c>
      <x:c r="D32" s="14" t="str">
        <x:v>存在成熟内容</x:v>
      </x:c>
    </x:row>
    <x:row r="33">
      <x:c r="A33" s="14" t="str">
        <x:v>SERP</x:v>
      </x:c>
      <x:c r="B33" s="14" t="str">
        <x:v>中高</x:v>
      </x:c>
      <x:c r="C33" s="14" t="n">
        <x:v>5</x:v>
      </x:c>
      <x:c r="D33" s="14" t="str">
        <x:v>多个专站或强站</x:v>
      </x:c>
    </x:row>
    <x:row r="34">
      <x:c r="A34" s="14" t="str">
        <x:v>SERP</x:v>
      </x:c>
      <x:c r="B34" s="14" t="str">
        <x:v>高</x:v>
      </x:c>
      <x:c r="C34" s="14" t="n">
        <x:v>0</x:v>
      </x:c>
      <x:c r="D34" s="14" t="str">
        <x:v>强站密集</x:v>
      </x:c>
    </x:row>
    <x:row r="35">
      <x:c r="A35" s="14" t="str">
        <x:v>决策</x:v>
      </x:c>
      <x:c r="B35" s="14" t="str">
        <x:v>≥65</x:v>
      </x:c>
      <x:c r="C35" s="14"/>
      <x:c r="D35" s="14" t="str">
        <x:v>做</x:v>
      </x:c>
    </x:row>
    <x:row r="36">
      <x:c r="A36" s="14" t="str">
        <x:v>决策</x:v>
      </x:c>
      <x:c r="B36" s="14" t="str">
        <x:v>55–64</x:v>
      </x:c>
      <x:c r="C36" s="14"/>
      <x:c r="D36" s="14" t="str">
        <x:v>谨慎做</x:v>
      </x:c>
    </x:row>
    <x:row r="37">
      <x:c r="A37" s="14" t="str">
        <x:v>决策</x:v>
      </x:c>
      <x:c r="B37" s="14" t="str">
        <x:v>&lt;55</x:v>
      </x:c>
      <x:c r="C37" s="14"/>
      <x:c r="D37" s="14" t="str">
        <x:v>不做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8" hidden="0" customWidth="1"/>
    <x:col min="3" max="3" width="68" hidden="0" customWidth="1"/>
  </x:cols>
  <x:sheetData>
    <x:row r="1">
      <x:c r="A1" s="3" t="str">
        <x:v>方法、限制与来源</x:v>
      </x:c>
      <x:c r="B1" s="3"/>
      <x:c r="C1" s="3"/>
    </x:row>
    <x:row r="3">
      <x:c r="A3" s="12" t="str">
        <x:v>项目</x:v>
      </x:c>
      <x:c r="B3" s="12" t="str">
        <x:v>内容/链接</x:v>
      </x:c>
      <x:c r="C3" s="12" t="str">
        <x:v>说明</x:v>
      </x:c>
    </x:row>
    <x:row r="4" ht="58" customHeight="1">
      <x:c r="A4" s="15" t="str">
        <x:v>数据日期</x:v>
      </x:c>
      <x:c r="B4" s="15" t="str">
        <x:v>2026-08-15（北京时间）</x:v>
      </x:c>
      <x:c r="C4" s="15" t="str">
        <x:v>所有实时排名和在线人数均为查询快照，之后会变化。</x:v>
      </x:c>
    </x:row>
    <x:row r="5" ht="58" customHeight="1">
      <x:c r="A5" s="15" t="str">
        <x:v>趋势</x:v>
      </x:c>
      <x:c r="B5" s="15" t="str">
        <x:v>SteamDB上线动量代理</x:v>
      </x:c>
      <x:c r="C5" s="15" t="str">
        <x:v>截图要求使用Google Trends；公开自动化环境无法稳定读取完整Trends曲线，因此用发售天数+当前在线/峰值比作代理，并附每款游戏的Google Trends复核链接。</x:v>
      </x:c>
    </x:row>
    <x:row r="6" ht="58" customHeight="1">
      <x:c r="A6" s="15" t="str">
        <x:v>KD</x:v>
      </x:c>
      <x:c r="B6" s="15" t="str">
        <x:v>SERP模型估算，非Similarweb导出</x:v>
      </x:c>
      <x:c r="C6" s="15" t="str">
        <x:v>依据品牌强度、强站数量、专属Wiki数量和内容覆盖深度估算0–100。必须在Similarweb/SEMrush实际账号中复核后再买域名。</x:v>
      </x:c>
    </x:row>
    <x:row r="7" ht="58" customHeight="1">
      <x:c r="A7" s="15" t="str">
        <x:v>细分关键词数量</x:v>
      </x:c>
      <x:c r="B7" s="15" t="str">
        <x:v>本工作簿人工整理的可落地词数</x:v>
      </x:c>
      <x:c r="C7" s="15" t="str">
        <x:v>不是Similarweb数据库返回量；数量由“细分关键词”工作表逐行计数。</x:v>
      </x:c>
    </x:row>
    <x:row r="8" ht="58" customHeight="1">
      <x:c r="A8" s="15" t="str">
        <x:v>首页竞争</x:v>
      </x:c>
      <x:c r="B8" s="15" t="str">
        <x:v>公开搜索结果人工分类</x:v>
      </x:c>
      <x:c r="C8" s="15" t="str">
        <x:v>重点识别Fandom/Wiki、官方Wiki、IGN/GameSpot等媒体、Pro Game Guides/Game8等成熟攻略站、Steam/YouTube/Reddit普通内页。</x:v>
      </x:c>
    </x:row>
    <x:row r="9" ht="58" customHeight="1">
      <x:c r="A9" s="15" t="str">
        <x:v>决策阈值</x:v>
      </x:c>
      <x:c r="B9" s="15" t="str">
        <x:v>综合分≥65做；55–64谨慎做；&lt;55不做</x:v>
      </x:c>
      <x:c r="C9" s="15" t="str">
        <x:v>趋势30分、KD30分、长尾20分、SERP20分；评分规则在“输入与规则”页可审计。</x:v>
      </x:c>
    </x:row>
    <x:row r="10" ht="58" customHeight="1">
      <x:c r="A10" s="15" t="str">
        <x:v>Similarweb复核入口</x:v>
      </x:c>
      <x:c r="B10" s="15" t="str">
        <x:v>https://pro.similarweb.com/</x:v>
      </x:c>
      <x:c r="C10" s="15" t="str">
        <x:v>搜索主游戏名及长尾词，记录真实KD、搜索量和相关词数量。</x:v>
      </x:c>
    </x:row>
    <x:row r="11" ht="58" customHeight="1">
      <x:c r="A11" s="15" t="str">
        <x:v>Google Trends入口</x:v>
      </x:c>
      <x:c r="B11" s="15" t="str">
        <x:v>https://trends.google.com/trends/explore?date=today%201-m</x:v>
      </x:c>
      <x:c r="C11" s="15" t="str">
        <x:v>建议Worldwide、过去30天，并以GPTs作为对比词。</x:v>
      </x:c>
    </x:row>
    <x:row r="12" ht="58" customHeight="1">
      <x:c r="A12" s="15" t="str">
        <x:v>SteamDB实时畅销榜</x:v>
      </x:c>
      <x:c r="B12" s="15" t="str">
        <x:v>https://steamdb.info/stats/globaltopsellers/</x:v>
      </x:c>
      <x:c r="C12" s="15" t="str">
        <x:v>用于当前畅销排名和在线热度校验。</x:v>
      </x:c>
    </x:row>
    <x:row r="13" ht="58" customHeight="1">
      <x:c r="A13" s="15" t="str">
        <x:v>发售日参考</x:v>
      </x:c>
      <x:c r="B13" s="15" t="str">
        <x:v>https://www.gamesradar.com/video-game-release-dates/</x:v>
      </x:c>
      <x:c r="C13" s="15" t="str">
        <x:v>用于跨平台发售日期交叉核对。</x:v>
      </x:c>
    </x:row>
    <x:row r="15">
      <x:c r="A15" s="39" t="str">
        <x:v>每款游戏的主要数据源</x:v>
      </x:c>
      <x:c r="B15" s="39"/>
      <x:c r="C15" s="39"/>
    </x:row>
    <x:row r="16">
      <x:c r="A16" s="12" t="str">
        <x:v>游戏名</x:v>
      </x:c>
      <x:c r="B16" s="12" t="str">
        <x:v>SteamDB</x:v>
      </x:c>
      <x:c r="C16" s="12" t="str">
        <x:v>SERP样本</x:v>
      </x:c>
    </x:row>
    <x:row r="17" ht="48" customHeight="1">
      <x:c r="A17" s="15" t="str">
        <x:v>Big Walk</x:v>
      </x:c>
      <x:c r="B17" s="15" t="str">
        <x:v>https://steamdb.info/app/1478500/charts/</x:v>
      </x:c>
      <x:c r="C17" s="15" t="str">
        <x:v>https://bigwalk.wiki/</x:v>
      </x:c>
    </x:row>
    <x:row r="18" ht="48" customHeight="1">
      <x:c r="A18" s="15" t="str">
        <x:v>Mistfall Hunter</x:v>
      </x:c>
      <x:c r="B18" s="15" t="str">
        <x:v>https://steamdb.info/app/3282300/charts/</x:v>
      </x:c>
      <x:c r="C18" s="15" t="str">
        <x:v>https://www.mistfallhunterwiki.wiki/</x:v>
      </x:c>
    </x:row>
    <x:row r="19" ht="48" customHeight="1">
      <x:c r="A19" s="15" t="str">
        <x:v>Shift At Midnight</x:v>
      </x:c>
      <x:c r="B19" s="15" t="str">
        <x:v>https://steamdb.info/app/3722330/charts/</x:v>
      </x:c>
      <x:c r="C19" s="15" t="str">
        <x:v>https://www.windowscentral.com/gaming/this-viral-steam-pc-horror-game-is-coming-exclusive-to-xbox-on-consoles-next-week-with-game-pass-and-play-anywhere</x:v>
      </x:c>
    </x:row>
    <x:row r="20" ht="48" customHeight="1">
      <x:c r="A20" s="15" t="str">
        <x:v>Hell Let Loose: Vietnam</x:v>
      </x:c>
      <x:c r="B20" s="15" t="str">
        <x:v>https://steamdb.info/app/3079210/charts/</x:v>
      </x:c>
      <x:c r="C20" s="15" t="str">
        <x:v>https://hell-let-loose.wiki/</x:v>
      </x:c>
    </x:row>
    <x:row r="21" ht="48" customHeight="1">
      <x:c r="A21" s="15" t="str">
        <x:v>Servant of the Lake</x:v>
      </x:c>
      <x:c r="B21" s="15" t="str">
        <x:v>https://steamdb.info/app/3636770/charts/</x:v>
      </x:c>
      <x:c r="C21" s="15" t="str">
        <x:v>https://www.appunwrapper.com/2025/10/13/servant-of-the-lake-demo-walkthrough-guide/</x:v>
      </x:c>
    </x:row>
    <x:row r="22" ht="48" customHeight="1">
      <x:c r="A22" s="15" t="str">
        <x:v>Halo: Campaign Evolved</x:v>
      </x:c>
      <x:c r="B22" s="15" t="str">
        <x:v>https://steamdb.info/app/2806050/charts/</x:v>
      </x:c>
      <x:c r="C22" s="15" t="str">
        <x:v>https://www.gamespot.com/articles/halo-campaign-evolved-every-skull-location/</x:v>
      </x:c>
    </x:row>
    <x:row r="23" ht="48" customHeight="1">
      <x:c r="A23" s="15" t="str">
        <x:v>MARVEL Tōkon: Fighting Souls</x:v>
      </x:c>
      <x:c r="B23" s="15" t="str">
        <x:v>https://steamdb.info/app/3787240/charts/</x:v>
      </x:c>
      <x:c r="C23" s="15" t="str">
        <x:v>https://dotesports.com/marvel/guides/marvel-tokon-fighting-souls-beginner-combos</x:v>
      </x:c>
    </x:row>
    <x:row r="24" ht="48" customHeight="1">
      <x:c r="A24" s="15" t="str">
        <x:v>ReStory: Chill Electronics Repairs</x:v>
      </x:c>
      <x:c r="B24" s="15" t="str">
        <x:v>https://steamdb.info/app/3812600/charts/</x:v>
      </x:c>
      <x:c r="C24" s="15" t="str">
        <x:v>https://as.com/meristation/noticias/restory-el-simulador-tranquilo-donde-arreglar-consolas-es-solo-el-principio-f202606-n/</x:v>
      </x:c>
    </x:row>
    <x:row r="25" ht="48" customHeight="1">
      <x:c r="A25" s="15" t="str">
        <x:v>IRON NEST: Heavy Turret Simulator</x:v>
      </x:c>
      <x:c r="B25" s="15" t="str">
        <x:v>https://steamdb.info/app/2950790/charts/</x:v>
      </x:c>
      <x:c r="C25" s="15" t="str">
        <x:v>https://progameguides.com/iron-nest/</x:v>
      </x:c>
    </x:row>
    <x:row r="26" ht="48" customHeight="1">
      <x:c r="A26" s="15" t="str">
        <x:v>Pax Autocratica</x:v>
      </x:c>
      <x:c r="B26" s="15" t="str">
        <x:v>https://steamdb.info/app/1067360/charts/</x:v>
      </x:c>
      <x:c r="C26" s="15" t="str">
        <x:v>https://paxautocraticawiki.com/prologue/vs-early-access/</x:v>
      </x:c>
    </x:row>
  </x:sheetData>
  <x:mergeCells>
    <x:mergeCell ref="A1:C1"/>
    <x:mergeCell ref="A15:C15"/>
  </x:mergeCells>
  <x:pageMargins left="0.7" right="0.7" top="0.75" bottom="0.75" header="0.3" footer="0.3"/>
</x:worksheet>
</file>